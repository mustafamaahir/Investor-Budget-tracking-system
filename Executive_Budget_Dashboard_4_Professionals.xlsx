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xl_dash\"/>
    </mc:Choice>
  </mc:AlternateContent>
  <xr:revisionPtr revIDLastSave="0" documentId="13_ncr:1_{67EFE9F2-BEE8-4B27-B1F2-419793D09A16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Executive Dashboard" sheetId="1" r:id="rId1"/>
    <sheet name="Annual Summary" sheetId="2" r:id="rId2"/>
    <sheet name="Jan-Feb" sheetId="3" r:id="rId3"/>
    <sheet name="Mar-Apr" sheetId="4" r:id="rId4"/>
    <sheet name="May-Jun" sheetId="5" r:id="rId5"/>
    <sheet name="Jul-Aug" sheetId="6" r:id="rId6"/>
    <sheet name="Sep-Oct" sheetId="7" r:id="rId7"/>
    <sheet name="Nov-Dec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FC7" i="1" l="1"/>
  <c r="C13" i="8"/>
  <c r="B17" i="8" s="1"/>
  <c r="B13" i="8"/>
  <c r="E13" i="8" s="1"/>
  <c r="E12" i="8"/>
  <c r="D12" i="8"/>
  <c r="E11" i="8"/>
  <c r="D11" i="8"/>
  <c r="E10" i="8"/>
  <c r="D10" i="8"/>
  <c r="E9" i="8"/>
  <c r="D9" i="8"/>
  <c r="E8" i="8"/>
  <c r="D8" i="8"/>
  <c r="C13" i="7"/>
  <c r="B17" i="7" s="1"/>
  <c r="B13" i="7"/>
  <c r="E13" i="7" s="1"/>
  <c r="E12" i="7"/>
  <c r="D12" i="7"/>
  <c r="E11" i="7"/>
  <c r="D11" i="7"/>
  <c r="E10" i="7"/>
  <c r="D10" i="7"/>
  <c r="E9" i="7"/>
  <c r="D9" i="7"/>
  <c r="E8" i="7"/>
  <c r="D8" i="7"/>
  <c r="B17" i="6"/>
  <c r="C13" i="6"/>
  <c r="B13" i="6"/>
  <c r="D13" i="6" s="1"/>
  <c r="E12" i="6"/>
  <c r="D12" i="6"/>
  <c r="E11" i="6"/>
  <c r="D11" i="6"/>
  <c r="E10" i="6"/>
  <c r="D10" i="6"/>
  <c r="E9" i="6"/>
  <c r="D9" i="6"/>
  <c r="E8" i="6"/>
  <c r="D8" i="6"/>
  <c r="C13" i="5"/>
  <c r="B17" i="5" s="1"/>
  <c r="B13" i="5"/>
  <c r="E13" i="5" s="1"/>
  <c r="E12" i="5"/>
  <c r="D12" i="5"/>
  <c r="E11" i="5"/>
  <c r="D11" i="5"/>
  <c r="E10" i="5"/>
  <c r="D10" i="5"/>
  <c r="E9" i="5"/>
  <c r="D9" i="5"/>
  <c r="E8" i="5"/>
  <c r="D8" i="5"/>
  <c r="B17" i="4"/>
  <c r="C13" i="4"/>
  <c r="B13" i="4"/>
  <c r="E13" i="4" s="1"/>
  <c r="E12" i="4"/>
  <c r="D12" i="4"/>
  <c r="E11" i="4"/>
  <c r="D11" i="4"/>
  <c r="E10" i="4"/>
  <c r="D10" i="4"/>
  <c r="E9" i="4"/>
  <c r="D9" i="4"/>
  <c r="E8" i="4"/>
  <c r="D8" i="4"/>
  <c r="C14" i="3"/>
  <c r="B18" i="3" s="1"/>
  <c r="B14" i="3"/>
  <c r="E13" i="3"/>
  <c r="D13" i="3"/>
  <c r="E12" i="3"/>
  <c r="D12" i="3"/>
  <c r="E11" i="3"/>
  <c r="D11" i="3"/>
  <c r="D10" i="3"/>
  <c r="E10" i="3" s="1"/>
  <c r="D9" i="3"/>
  <c r="E9" i="3" s="1"/>
  <c r="A5" i="3"/>
  <c r="C9" i="2"/>
  <c r="J10" i="1" s="1"/>
  <c r="XFC11" i="1"/>
  <c r="XFB11" i="1"/>
  <c r="XFA11" i="1"/>
  <c r="XFC10" i="1"/>
  <c r="XFB10" i="1"/>
  <c r="XFA10" i="1"/>
  <c r="XFC9" i="1"/>
  <c r="XFB9" i="1"/>
  <c r="XFA9" i="1"/>
  <c r="XFB8" i="1"/>
  <c r="XFA8" i="1"/>
  <c r="XFC8" i="1" s="1"/>
  <c r="XFB7" i="1"/>
  <c r="XFA7" i="1"/>
  <c r="XFB6" i="1"/>
  <c r="B10" i="1"/>
  <c r="XFA6" i="1" l="1"/>
  <c r="XFC6" i="1" s="1"/>
  <c r="C8" i="2"/>
  <c r="D13" i="5"/>
  <c r="D13" i="4"/>
  <c r="B5" i="3"/>
  <c r="A4" i="4" s="1"/>
  <c r="B4" i="4" s="1"/>
  <c r="A4" i="5" s="1"/>
  <c r="B4" i="5" s="1"/>
  <c r="A4" i="6" s="1"/>
  <c r="B4" i="6" s="1"/>
  <c r="A4" i="7" s="1"/>
  <c r="B4" i="7" s="1"/>
  <c r="A4" i="8" s="1"/>
  <c r="B4" i="8" s="1"/>
  <c r="C7" i="2"/>
  <c r="D14" i="3"/>
  <c r="E14" i="3" s="1"/>
  <c r="E13" i="6"/>
  <c r="D13" i="7"/>
  <c r="D13" i="8"/>
  <c r="C12" i="2" l="1"/>
  <c r="Z3" i="1" s="1"/>
  <c r="C11" i="2"/>
  <c r="Z2" i="1" s="1"/>
  <c r="N10" i="1"/>
  <c r="C10" i="2"/>
  <c r="C6" i="2" s="1"/>
  <c r="F10" i="1" s="1"/>
  <c r="Z4" i="1" l="1"/>
</calcChain>
</file>

<file path=xl/sharedStrings.xml><?xml version="1.0" encoding="utf-8"?>
<sst xmlns="http://schemas.openxmlformats.org/spreadsheetml/2006/main" count="145" uniqueCount="58">
  <si>
    <t>EXECUTIVE BUSINESS BUDGET DASHBOARD</t>
  </si>
  <si>
    <t>Comprehensive Bi-Monthly &amp; Annual Financial Performance Tracker</t>
  </si>
  <si>
    <t>💰 Starting Balance</t>
  </si>
  <si>
    <t>📊 Ending Balance</t>
  </si>
  <si>
    <t>💵 Total Income</t>
  </si>
  <si>
    <t>💳 Total Expenses</t>
  </si>
  <si>
    <t>KEY FINANCIAL METRICS</t>
  </si>
  <si>
    <t>📈 EXPENSE TRENDS</t>
  </si>
  <si>
    <t>📊 INCOME VS EXPENSES</t>
  </si>
  <si>
    <t>Profit Margin</t>
  </si>
  <si>
    <t>Expense Ratio</t>
  </si>
  <si>
    <t>Total Savings</t>
  </si>
  <si>
    <t>Period</t>
  </si>
  <si>
    <t>Expenses</t>
  </si>
  <si>
    <t>Income</t>
  </si>
  <si>
    <t>Current Period</t>
  </si>
  <si>
    <t>Current Period:</t>
  </si>
  <si>
    <t>Jan-Feb</t>
  </si>
  <si>
    <t>Mar-Apr</t>
  </si>
  <si>
    <t>May-Jun</t>
  </si>
  <si>
    <t>Jul-Aug</t>
  </si>
  <si>
    <t>Sep-Oct</t>
  </si>
  <si>
    <t>Nov-Dec</t>
  </si>
  <si>
    <t>ANNUAL FINANCIAL SUMMARY REPORT</t>
  </si>
  <si>
    <t>Consolidated Annual Budget Performance</t>
  </si>
  <si>
    <t>Financial Metric</t>
  </si>
  <si>
    <t>Amount (₦)</t>
  </si>
  <si>
    <t>Starting Balance</t>
  </si>
  <si>
    <t>Ending Balance</t>
  </si>
  <si>
    <t>Total Planned Expenses</t>
  </si>
  <si>
    <t>Total Actual Expenses</t>
  </si>
  <si>
    <t>Total Actual Income</t>
  </si>
  <si>
    <t>Profit Margin (%)</t>
  </si>
  <si>
    <t>Expense Ratio (%)</t>
  </si>
  <si>
    <t>JAN-FEB BUDGET PERFORMANCE</t>
  </si>
  <si>
    <t>Start Balance:</t>
  </si>
  <si>
    <t>End Balance:</t>
  </si>
  <si>
    <t>💳 EXPENSE BREAKDOWN</t>
  </si>
  <si>
    <t>Category</t>
  </si>
  <si>
    <t>Planned (₦)</t>
  </si>
  <si>
    <t>Actual (₦)</t>
  </si>
  <si>
    <t>Variance (₦)</t>
  </si>
  <si>
    <t>Variance (%)</t>
  </si>
  <si>
    <t>Commodities Fee</t>
  </si>
  <si>
    <t>Shipping Fee</t>
  </si>
  <si>
    <t>Local Logistics Fee</t>
  </si>
  <si>
    <t>Sponsored Meta Ads</t>
  </si>
  <si>
    <t>Delivery Fee</t>
  </si>
  <si>
    <t>TOTAL EXPENSES</t>
  </si>
  <si>
    <t>💵 INCOME SUMMARY</t>
  </si>
  <si>
    <t>Actual Income</t>
  </si>
  <si>
    <t>💰 TOTAL SAVINGS</t>
  </si>
  <si>
    <t>MAR-APR BUDGET PERFORMANCE</t>
  </si>
  <si>
    <t>MAY-JUN BUDGET PERFORMANCE</t>
  </si>
  <si>
    <t>JUL-AUG BUDGET PERFORMANCE</t>
  </si>
  <si>
    <t>SEP-OCT BUDGET PERFORMANCE</t>
  </si>
  <si>
    <t>NOV-DEC BUDGET PERFORMANCE</t>
  </si>
  <si>
    <t>HAJJ BATUUL NIGERIA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</si>
</sst>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₦&quot;#,##0.00"/>
    <numFmt numFmtId="165" formatCode="0.0%"/>
  </numFmts>
  <fonts count="26" x14ac:knownFonts="1">
    <font>
      <sz val="11"/>
      <color theme="1"/>
      <name val="Calibri"/>
      <family val="2"/>
      <scheme val="minor"/>
    </font>
    <font>
      <b/>
      <sz val="24"/>
      <color rgb="FFFFFFFF"/>
      <name val="Calibri"/>
      <family val="2"/>
    </font>
    <font>
      <i/>
      <sz val="12"/>
      <color rgb="FF2D3436"/>
      <name val="Calibri"/>
      <family val="2"/>
    </font>
    <font>
      <b/>
      <sz val="11"/>
      <color rgb="FFFFFFFF"/>
      <name val="Calibri"/>
      <family val="2"/>
    </font>
    <font>
      <b/>
      <sz val="18"/>
      <color rgb="FF6C5CE7"/>
      <name val="Calibri"/>
      <family val="2"/>
    </font>
    <font>
      <b/>
      <sz val="18"/>
      <color rgb="FF00B894"/>
      <name val="Calibri"/>
      <family val="2"/>
    </font>
    <font>
      <b/>
      <sz val="18"/>
      <color rgb="FFFDCB6E"/>
      <name val="Calibri"/>
      <family val="2"/>
    </font>
    <font>
      <b/>
      <sz val="18"/>
      <color rgb="FFFD79A8"/>
      <name val="Calibri"/>
      <family val="2"/>
    </font>
    <font>
      <b/>
      <sz val="13"/>
      <color rgb="FFFFFFFF"/>
      <name val="Calibri"/>
      <family val="2"/>
    </font>
    <font>
      <b/>
      <sz val="11"/>
      <color rgb="FF2D3436"/>
      <name val="Calibri"/>
      <family val="2"/>
    </font>
    <font>
      <b/>
      <sz val="12"/>
      <color rgb="FF6C5CE7"/>
      <name val="Calibri"/>
      <family val="2"/>
    </font>
    <font>
      <b/>
      <sz val="12"/>
      <color rgb="FFFFFFFF"/>
      <name val="Calibri"/>
      <family val="2"/>
    </font>
    <font>
      <b/>
      <sz val="11"/>
      <color rgb="FF6C5CE7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i/>
      <sz val="11"/>
      <color rgb="FF2D3436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2"/>
      <color rgb="FF00B894"/>
      <name val="Calibri"/>
      <family val="2"/>
    </font>
    <font>
      <b/>
      <sz val="10"/>
      <color rgb="FFFFFFFF"/>
      <name val="Calibri"/>
      <family val="2"/>
    </font>
    <font>
      <b/>
      <sz val="22"/>
      <color rgb="FFFFFFFF"/>
      <name val="Calibri"/>
      <family val="2"/>
    </font>
    <font>
      <b/>
      <sz val="11"/>
      <color rgb="FFFF6B6B"/>
      <name val="Calibri"/>
      <family val="2"/>
    </font>
    <font>
      <b/>
      <sz val="11"/>
      <color rgb="FF00B050"/>
      <name val="Calibri"/>
      <family val="2"/>
    </font>
    <font>
      <b/>
      <sz val="14"/>
      <color rgb="FF4ECDC4"/>
      <name val="Calibri"/>
      <family val="2"/>
    </font>
    <font>
      <b/>
      <sz val="11"/>
      <color theme="3" tint="-0.249977111117893"/>
      <name val="Calibri"/>
      <family val="2"/>
    </font>
    <font>
      <b/>
      <sz val="11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DFE6E9"/>
      </patternFill>
    </fill>
    <fill>
      <patternFill patternType="solid">
        <fgColor rgb="FFFFF5E1"/>
      </patternFill>
    </fill>
    <fill>
      <gradientFill>
        <stop position="0">
          <color rgb="FF6C5CE7"/>
        </stop>
        <stop position="1">
          <color rgb="FF74B9FF"/>
        </stop>
      </gradientFill>
    </fill>
    <fill>
      <gradientFill>
        <stop position="0">
          <color rgb="FF00CEC9"/>
        </stop>
        <stop position="1">
          <color rgb="FF55EFC4"/>
        </stop>
      </gradientFill>
    </fill>
    <fill>
      <patternFill patternType="solid">
        <fgColor rgb="FF6C5CE7"/>
      </patternFill>
    </fill>
    <fill>
      <patternFill patternType="solid">
        <fgColor rgb="FFFFFFFF"/>
      </patternFill>
    </fill>
    <fill>
      <patternFill patternType="solid">
        <fgColor rgb="FF00B894"/>
      </patternFill>
    </fill>
    <fill>
      <patternFill patternType="solid">
        <fgColor rgb="FFFDCB6E"/>
      </patternFill>
    </fill>
    <fill>
      <patternFill patternType="solid">
        <fgColor rgb="FFFD79A8"/>
      </patternFill>
    </fill>
    <fill>
      <gradientFill>
        <stop position="0">
          <color rgb="FF6C5CE7"/>
        </stop>
        <stop position="1">
          <color rgb="FFA29BFE"/>
        </stop>
      </gradientFill>
    </fill>
    <fill>
      <gradientFill>
        <stop position="0">
          <color rgb="FFFD79A8"/>
        </stop>
        <stop position="1">
          <color rgb="FFFF7675"/>
        </stop>
      </gradientFill>
    </fill>
    <fill>
      <gradientFill>
        <stop position="0">
          <color rgb="FF00CEC9"/>
        </stop>
        <stop position="1">
          <color rgb="FF74B9FF"/>
        </stop>
      </gradientFill>
    </fill>
    <fill>
      <gradientFill>
        <stop position="0">
          <color rgb="FF74B9FF"/>
        </stop>
        <stop position="1">
          <color rgb="FF00CEC9"/>
        </stop>
      </gradientFill>
    </fill>
    <fill>
      <gradientFill>
        <stop position="0">
          <color rgb="FF00CEC9"/>
        </stop>
        <stop position="1">
          <color rgb="FF00B894"/>
        </stop>
      </gradientFill>
    </fill>
    <fill>
      <gradientFill>
        <stop position="0">
          <color rgb="FF6C5CE7"/>
        </stop>
        <stop position="1">
          <color rgb="FF00CEC9"/>
        </stop>
      </gradientFill>
    </fill>
    <fill>
      <patternFill patternType="solid">
        <fgColor rgb="FF55EFC4"/>
      </patternFill>
    </fill>
    <fill>
      <gradientFill>
        <stop position="0">
          <color rgb="FFFF6B6B"/>
        </stop>
        <stop position="1">
          <color rgb="FFFF7675"/>
        </stop>
      </gradientFill>
    </fill>
    <fill>
      <gradientFill>
        <stop position="0">
          <color rgb="FF00B894"/>
        </stop>
        <stop position="1">
          <color rgb="FF55EFC4"/>
        </stop>
      </gradientFill>
    </fill>
    <fill>
      <patternFill patternType="solid">
        <fgColor rgb="FF1A7F7C"/>
      </patternFill>
    </fill>
    <fill>
      <patternFill patternType="solid">
        <fgColor rgb="FFFFB84D"/>
      </patternFill>
    </fill>
    <fill>
      <patternFill patternType="solid">
        <fgColor rgb="FFFF6B6B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medium">
        <color rgb="FF6C5CE7"/>
      </left>
      <right style="medium">
        <color rgb="FF6C5CE7"/>
      </right>
      <top style="medium">
        <color rgb="FF6C5CE7"/>
      </top>
      <bottom style="medium">
        <color rgb="FF6C5CE7"/>
      </bottom>
      <diagonal/>
    </border>
    <border>
      <left style="medium">
        <color rgb="FF00B894"/>
      </left>
      <right style="medium">
        <color rgb="FF00B894"/>
      </right>
      <top style="medium">
        <color rgb="FF00B894"/>
      </top>
      <bottom style="medium">
        <color rgb="FF00B894"/>
      </bottom>
      <diagonal/>
    </border>
    <border>
      <left style="medium">
        <color rgb="FFFDCB6E"/>
      </left>
      <right style="medium">
        <color rgb="FFFDCB6E"/>
      </right>
      <top style="medium">
        <color rgb="FFFDCB6E"/>
      </top>
      <bottom style="medium">
        <color rgb="FFFDCB6E"/>
      </bottom>
      <diagonal/>
    </border>
    <border>
      <left style="medium">
        <color rgb="FFFD79A8"/>
      </left>
      <right style="medium">
        <color rgb="FFFD79A8"/>
      </right>
      <top style="medium">
        <color rgb="FFFD79A8"/>
      </top>
      <bottom style="medium">
        <color rgb="FFFD79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3" borderId="0" xfId="0" applyFill="1"/>
    <xf numFmtId="164" fontId="10" fillId="2" borderId="0" xfId="0" applyNumberFormat="1" applyFont="1" applyFill="1"/>
    <xf numFmtId="0" fontId="16" fillId="6" borderId="0" xfId="0" applyFont="1" applyFill="1"/>
    <xf numFmtId="0" fontId="16" fillId="8" borderId="0" xfId="0" applyFont="1" applyFill="1"/>
    <xf numFmtId="164" fontId="18" fillId="17" borderId="0" xfId="0" applyNumberFormat="1" applyFont="1" applyFill="1"/>
    <xf numFmtId="0" fontId="9" fillId="3" borderId="5" xfId="0" applyFont="1" applyFill="1" applyBorder="1"/>
    <xf numFmtId="164" fontId="0" fillId="0" borderId="5" xfId="0" applyNumberFormat="1" applyBorder="1" applyProtection="1">
      <protection locked="0"/>
    </xf>
    <xf numFmtId="164" fontId="0" fillId="0" borderId="5" xfId="0" applyNumberFormat="1" applyBorder="1"/>
    <xf numFmtId="165" fontId="0" fillId="0" borderId="5" xfId="0" applyNumberFormat="1" applyBorder="1"/>
    <xf numFmtId="0" fontId="16" fillId="18" borderId="5" xfId="0" applyFont="1" applyFill="1" applyBorder="1"/>
    <xf numFmtId="0" fontId="0" fillId="0" borderId="5" xfId="0" applyBorder="1"/>
    <xf numFmtId="0" fontId="11" fillId="19" borderId="5" xfId="0" applyFont="1" applyFill="1" applyBorder="1"/>
    <xf numFmtId="0" fontId="0" fillId="0" borderId="0" xfId="0"/>
    <xf numFmtId="0" fontId="19" fillId="20" borderId="5" xfId="0" applyFont="1" applyFill="1" applyBorder="1" applyAlignment="1">
      <alignment horizontal="center" vertical="center"/>
    </xf>
    <xf numFmtId="164" fontId="21" fillId="0" borderId="5" xfId="0" applyNumberFormat="1" applyFont="1" applyBorder="1"/>
    <xf numFmtId="165" fontId="21" fillId="0" borderId="5" xfId="0" applyNumberFormat="1" applyFont="1" applyBorder="1"/>
    <xf numFmtId="164" fontId="22" fillId="0" borderId="5" xfId="0" applyNumberFormat="1" applyFont="1" applyBorder="1" applyProtection="1">
      <protection locked="0"/>
    </xf>
    <xf numFmtId="164" fontId="23" fillId="0" borderId="5" xfId="0" applyNumberFormat="1" applyFont="1" applyBorder="1"/>
    <xf numFmtId="0" fontId="20" fillId="13" borderId="0" xfId="0" applyFont="1" applyFill="1" applyAlignment="1"/>
    <xf numFmtId="0" fontId="20" fillId="13" borderId="0" xfId="0" applyFont="1" applyFill="1" applyAlignment="1">
      <alignment horizontal="center"/>
    </xf>
    <xf numFmtId="0" fontId="8" fillId="11" borderId="0" xfId="0" applyFont="1" applyFill="1" applyAlignment="1">
      <alignment horizontal="center" vertical="center"/>
    </xf>
    <xf numFmtId="0" fontId="24" fillId="23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0" borderId="0" xfId="0"/>
    <xf numFmtId="164" fontId="4" fillId="7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5" fillId="7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3" fillId="10" borderId="4" xfId="0" applyFont="1" applyFill="1" applyBorder="1" applyAlignment="1">
      <alignment horizontal="center" vertical="center"/>
    </xf>
    <xf numFmtId="0" fontId="0" fillId="0" borderId="4" xfId="0" applyBorder="1"/>
    <xf numFmtId="0" fontId="3" fillId="8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0" fillId="0" borderId="3" xfId="0" applyBorder="1"/>
    <xf numFmtId="164" fontId="6" fillId="7" borderId="3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7" fillId="7" borderId="4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14" borderId="0" xfId="0" applyFont="1" applyFill="1" applyAlignment="1" applyProtection="1">
      <alignment horizontal="center" vertical="center"/>
      <protection locked="0"/>
    </xf>
    <xf numFmtId="0" fontId="13" fillId="14" borderId="0" xfId="0" applyFont="1" applyFill="1" applyAlignment="1" applyProtection="1">
      <alignment horizontal="center" vertical="center"/>
      <protection locked="0"/>
    </xf>
    <xf numFmtId="0" fontId="11" fillId="12" borderId="0" xfId="0" applyFont="1" applyFill="1" applyAlignment="1">
      <alignment horizontal="center"/>
    </xf>
    <xf numFmtId="10" fontId="10" fillId="2" borderId="0" xfId="0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4" fillId="4" borderId="0" xfId="0" applyFont="1" applyFill="1" applyAlignment="1">
      <alignment horizontal="center" vertical="center"/>
    </xf>
    <xf numFmtId="0" fontId="3" fillId="15" borderId="0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6" fillId="15" borderId="7" xfId="0" applyFont="1" applyFill="1" applyBorder="1" applyAlignment="1">
      <alignment horizontal="center" vertical="center"/>
    </xf>
    <xf numFmtId="0" fontId="16" fillId="15" borderId="0" xfId="0" applyFont="1" applyFill="1" applyBorder="1" applyAlignment="1">
      <alignment horizontal="center" vertical="center"/>
    </xf>
    <xf numFmtId="164" fontId="12" fillId="2" borderId="7" xfId="0" applyNumberFormat="1" applyFont="1" applyFill="1" applyBorder="1" applyAlignment="1">
      <alignment horizontal="center" vertical="center"/>
    </xf>
    <xf numFmtId="164" fontId="12" fillId="2" borderId="0" xfId="0" applyNumberFormat="1" applyFont="1" applyFill="1" applyBorder="1" applyAlignment="1">
      <alignment horizontal="center" vertical="center"/>
    </xf>
    <xf numFmtId="164" fontId="12" fillId="3" borderId="7" xfId="0" applyNumberFormat="1" applyFont="1" applyFill="1" applyBorder="1" applyAlignment="1">
      <alignment horizontal="center" vertical="center"/>
    </xf>
    <xf numFmtId="164" fontId="12" fillId="3" borderId="0" xfId="0" applyNumberFormat="1" applyFont="1" applyFill="1" applyBorder="1" applyAlignment="1">
      <alignment horizontal="center" vertical="center"/>
    </xf>
    <xf numFmtId="10" fontId="12" fillId="2" borderId="7" xfId="0" applyNumberFormat="1" applyFont="1" applyFill="1" applyBorder="1" applyAlignment="1">
      <alignment horizontal="center" vertical="center"/>
    </xf>
    <xf numFmtId="10" fontId="12" fillId="2" borderId="0" xfId="0" applyNumberFormat="1" applyFont="1" applyFill="1" applyBorder="1" applyAlignment="1">
      <alignment horizontal="center" vertical="center"/>
    </xf>
    <xf numFmtId="10" fontId="12" fillId="3" borderId="7" xfId="0" applyNumberFormat="1" applyFont="1" applyFill="1" applyBorder="1" applyAlignment="1">
      <alignment horizontal="center" vertical="center"/>
    </xf>
    <xf numFmtId="10" fontId="12" fillId="3" borderId="0" xfId="0" applyNumberFormat="1" applyFont="1" applyFill="1" applyBorder="1" applyAlignment="1">
      <alignment horizontal="center" vertical="center"/>
    </xf>
    <xf numFmtId="0" fontId="8" fillId="21" borderId="5" xfId="0" applyFont="1" applyFill="1" applyBorder="1" applyAlignment="1">
      <alignment horizontal="center"/>
    </xf>
    <xf numFmtId="0" fontId="0" fillId="0" borderId="5" xfId="0" applyBorder="1"/>
    <xf numFmtId="0" fontId="8" fillId="22" borderId="0" xfId="0" applyFont="1" applyFill="1" applyAlignment="1">
      <alignment horizontal="center"/>
    </xf>
    <xf numFmtId="0" fontId="17" fillId="16" borderId="0" xfId="0" applyFont="1" applyFill="1" applyAlignment="1">
      <alignment horizontal="center" vertical="center"/>
    </xf>
    <xf numFmtId="0" fontId="25" fillId="24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>
          <fgColor rgb="FFFFCDD2"/>
          <bgColor rgb="FFFFCDD2"/>
        </patternFill>
      </fill>
    </dxf>
    <dxf>
      <fill>
        <patternFill>
          <fgColor rgb="FFC8E6C9"/>
          <bgColor rgb="FFC8E6C9"/>
        </patternFill>
      </fill>
    </dxf>
    <dxf>
      <fill>
        <patternFill>
          <fgColor rgb="FFFFCDD2"/>
          <bgColor rgb="FFFFCDD2"/>
        </patternFill>
      </fill>
    </dxf>
    <dxf>
      <fill>
        <patternFill>
          <fgColor rgb="FFC8E6C9"/>
          <bgColor rgb="FFC8E6C9"/>
        </patternFill>
      </fill>
    </dxf>
    <dxf>
      <fill>
        <patternFill>
          <fgColor rgb="FFFFCDD2"/>
          <bgColor rgb="FFFFCDD2"/>
        </patternFill>
      </fill>
    </dxf>
    <dxf>
      <fill>
        <patternFill>
          <fgColor rgb="FFC8E6C9"/>
          <bgColor rgb="FFC8E6C9"/>
        </patternFill>
      </fill>
    </dxf>
    <dxf>
      <fill>
        <patternFill>
          <fgColor rgb="FFFFCDD2"/>
          <bgColor rgb="FFFFCDD2"/>
        </patternFill>
      </fill>
    </dxf>
    <dxf>
      <fill>
        <patternFill>
          <fgColor rgb="FFC8E6C9"/>
          <bgColor rgb="FFC8E6C9"/>
        </patternFill>
      </fill>
    </dxf>
    <dxf>
      <fill>
        <patternFill>
          <fgColor rgb="FFFFCDD2"/>
          <bgColor rgb="FFFFCDD2"/>
        </patternFill>
      </fill>
    </dxf>
    <dxf>
      <fill>
        <patternFill>
          <fgColor rgb="FFC8E6C9"/>
          <bgColor rgb="FFC8E6C9"/>
        </patternFill>
      </fill>
    </dxf>
    <dxf>
      <fill>
        <patternFill>
          <fgColor rgb="FFFFCDD2"/>
          <bgColor rgb="FFFFCDD2"/>
        </patternFill>
      </fill>
    </dxf>
    <dxf>
      <fill>
        <patternFill>
          <fgColor rgb="FFC8E6C9"/>
          <b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Bi-Monthly Expense Trends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'Executive Dashboard'!$XFA$5</c:f>
              <c:strCache>
                <c:ptCount val="1"/>
                <c:pt idx="0">
                  <c:v>Expenses</c:v>
                </c:pt>
              </c:strCache>
            </c:strRef>
          </c:tx>
          <c:spPr>
            <a:ln w="3">
              <a:solidFill>
                <a:srgbClr val="FF767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Dashboard'!$XEZ$6:$XEZ$11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Sep-Oct</c:v>
                </c:pt>
                <c:pt idx="5">
                  <c:v>Nov-Dec</c:v>
                </c:pt>
              </c:strCache>
            </c:strRef>
          </c:cat>
          <c:val>
            <c:numRef>
              <c:f>'Executive Dashboard'!$XFA$6:$XFA$11</c:f>
              <c:numCache>
                <c:formatCode>General</c:formatCode>
                <c:ptCount val="6"/>
                <c:pt idx="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DC-44E1-9377-60A2017FC7B5}"/>
            </c:ext>
          </c:extLst>
        </c:ser>
        <c:ser>
          <c:idx val="1"/>
          <c:order val="1"/>
          <c:tx>
            <c:strRef>
              <c:f>'Executive Dashboard'!$XFC$5</c:f>
              <c:strCache>
                <c:ptCount val="1"/>
                <c:pt idx="0">
                  <c:v>Current Period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12"/>
            <c:spPr>
              <a:solidFill>
                <a:srgbClr val="74B9FF"/>
              </a:solidFill>
              <a:ln>
                <a:solidFill>
                  <a:srgbClr val="74B9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'Executive Dashboard'!$XFC$6:$XFC$11</c:f>
              <c:numCache>
                <c:formatCode>General</c:formatCode>
                <c:ptCount val="6"/>
                <c:pt idx="0">
                  <c:v>50000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DC-44E1-9377-60A2017FC7B5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(₦)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bg2"/>
    </a:solidFill>
    <a:ln>
      <a:solidFill>
        <a:schemeClr val="accent6">
          <a:lumMod val="60000"/>
          <a:lumOff val="40000"/>
        </a:schemeClr>
      </a:solidFill>
    </a:ln>
    <a:effectLst>
      <a:glow rad="63500">
        <a:schemeClr val="accent3">
          <a:satMod val="175000"/>
          <a:alpha val="40000"/>
        </a:schemeClr>
      </a:glow>
      <a:outerShdw blurRad="63500" sx="102000" sy="102000" algn="ctr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Income vs Expenses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Dashboard'!$XFA$5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Dashboard'!$XEZ$6:$XEZ$11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Sep-Oct</c:v>
                </c:pt>
                <c:pt idx="5">
                  <c:v>Nov-Dec</c:v>
                </c:pt>
              </c:strCache>
            </c:strRef>
          </c:cat>
          <c:val>
            <c:numRef>
              <c:f>'Executive Dashboard'!$XFA$6:$XFA$11</c:f>
              <c:numCache>
                <c:formatCode>General</c:formatCode>
                <c:ptCount val="6"/>
                <c:pt idx="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7-48C9-81DC-E6766A4DCF5C}"/>
            </c:ext>
          </c:extLst>
        </c:ser>
        <c:ser>
          <c:idx val="1"/>
          <c:order val="1"/>
          <c:tx>
            <c:strRef>
              <c:f>'Executive Dashboard'!$XFB$5</c:f>
              <c:strCache>
                <c:ptCount val="1"/>
                <c:pt idx="0">
                  <c:v>Income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Dashboard'!$XEZ$6:$XEZ$11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Sep-Oct</c:v>
                </c:pt>
                <c:pt idx="5">
                  <c:v>Nov-Dec</c:v>
                </c:pt>
              </c:strCache>
            </c:strRef>
          </c:cat>
          <c:val>
            <c:numRef>
              <c:f>'Executive Dashboard'!$XFB$6:$XFB$11</c:f>
              <c:numCache>
                <c:formatCode>General</c:formatCode>
                <c:ptCount val="6"/>
                <c:pt idx="0">
                  <c:v>60000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C7-48C9-81DC-E6766A4DCF5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layout>
            <c:manualLayout>
              <c:xMode val="edge"/>
              <c:yMode val="edge"/>
              <c:x val="0.47617567450208437"/>
              <c:y val="0.94635999999999998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(₦)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spPr>
    <a:solidFill>
      <a:schemeClr val="bg2">
        <a:lumMod val="90000"/>
      </a:schemeClr>
    </a:solidFill>
    <a:effectLst>
      <a:outerShdw blurRad="63500" sx="102000" sy="102000" algn="ctr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Jan-Feb Expense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'Jan-Feb'!$B$8</c:f>
              <c:strCache>
                <c:ptCount val="1"/>
                <c:pt idx="0">
                  <c:v>Planned (₦)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dLbl>
              <c:idx val="0"/>
              <c:layout>
                <c:manualLayout>
                  <c:x val="-3.292592592592592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8C-465A-925F-A53B80ED30E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'Jan-Feb'!$A$9:$A$13</c:f>
              <c:strCache>
                <c:ptCount val="5"/>
                <c:pt idx="0">
                  <c:v>Commodities Fee</c:v>
                </c:pt>
                <c:pt idx="1">
                  <c:v>Shipping Fee</c:v>
                </c:pt>
                <c:pt idx="2">
                  <c:v>Local Logistics Fee</c:v>
                </c:pt>
                <c:pt idx="3">
                  <c:v>Sponsored Meta Ads</c:v>
                </c:pt>
                <c:pt idx="4">
                  <c:v>Delivery Fee</c:v>
                </c:pt>
              </c:strCache>
            </c:strRef>
          </c:cat>
          <c:val>
            <c:numRef>
              <c:f>'Jan-Feb'!$B$9:$B$13</c:f>
              <c:numCache>
                <c:formatCode>"₦"#,##0.00</c:formatCode>
                <c:ptCount val="5"/>
                <c:pt idx="0">
                  <c:v>40000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C-465A-925F-A53B80ED30E7}"/>
            </c:ext>
          </c:extLst>
        </c:ser>
        <c:ser>
          <c:idx val="1"/>
          <c:order val="1"/>
          <c:tx>
            <c:strRef>
              <c:f>'Jan-Feb'!$C$8</c:f>
              <c:strCache>
                <c:ptCount val="1"/>
                <c:pt idx="0">
                  <c:v>Actual (₦)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dLbl>
              <c:idx val="0"/>
              <c:layout>
                <c:manualLayout>
                  <c:x val="3.5277777777777776E-2"/>
                  <c:y val="7.05555555555555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8C-465A-925F-A53B80ED30E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'Jan-Feb'!$A$9:$A$13</c:f>
              <c:strCache>
                <c:ptCount val="5"/>
                <c:pt idx="0">
                  <c:v>Commodities Fee</c:v>
                </c:pt>
                <c:pt idx="1">
                  <c:v>Shipping Fee</c:v>
                </c:pt>
                <c:pt idx="2">
                  <c:v>Local Logistics Fee</c:v>
                </c:pt>
                <c:pt idx="3">
                  <c:v>Sponsored Meta Ads</c:v>
                </c:pt>
                <c:pt idx="4">
                  <c:v>Delivery Fee</c:v>
                </c:pt>
              </c:strCache>
            </c:strRef>
          </c:cat>
          <c:val>
            <c:numRef>
              <c:f>'Jan-Feb'!$C$9:$C$13</c:f>
              <c:numCache>
                <c:formatCode>"₦"#,##0.00</c:formatCode>
                <c:ptCount val="5"/>
                <c:pt idx="0">
                  <c:v>35000</c:v>
                </c:pt>
                <c:pt idx="1">
                  <c:v>5000</c:v>
                </c:pt>
                <c:pt idx="2">
                  <c:v>10000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8C-465A-925F-A53B80ED30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Expense Category</a:t>
                </a:r>
              </a:p>
            </c:rich>
          </c:tx>
          <c:layout>
            <c:manualLayout>
              <c:xMode val="edge"/>
              <c:yMode val="edge"/>
              <c:x val="0.40632574074074074"/>
              <c:y val="0.9357766666666667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(₦)</a:t>
                </a:r>
              </a:p>
            </c:rich>
          </c:tx>
          <c:overlay val="1"/>
        </c:title>
        <c:numFmt formatCode="&quot;₦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spPr>
    <a:ln w="28575">
      <a:solidFill>
        <a:srgbClr val="00B0F0"/>
      </a:solidFill>
    </a:ln>
    <a:effectLst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convex"/>
    </a:sp3d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Mar-Apr Expense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'Mar-Apr'!$B$7</c:f>
              <c:strCache>
                <c:ptCount val="1"/>
                <c:pt idx="0">
                  <c:v>Planned (₦)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'Mar-Apr'!$A$8:$A$12</c:f>
              <c:strCache>
                <c:ptCount val="5"/>
                <c:pt idx="0">
                  <c:v>Commodities Fee</c:v>
                </c:pt>
                <c:pt idx="1">
                  <c:v>Shipping Fee</c:v>
                </c:pt>
                <c:pt idx="2">
                  <c:v>Local Logistics Fee</c:v>
                </c:pt>
                <c:pt idx="3">
                  <c:v>Sponsored Meta Ads</c:v>
                </c:pt>
                <c:pt idx="4">
                  <c:v>Delivery Fee</c:v>
                </c:pt>
              </c:strCache>
            </c:strRef>
          </c:cat>
          <c:val>
            <c:numRef>
              <c:f>'Mar-Apr'!$B$8:$B$12</c:f>
              <c:numCache>
                <c:formatCode>"₦"#,##0.00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6-46C0-AAB8-7BE2BE512228}"/>
            </c:ext>
          </c:extLst>
        </c:ser>
        <c:ser>
          <c:idx val="1"/>
          <c:order val="1"/>
          <c:tx>
            <c:strRef>
              <c:f>'Mar-Apr'!$C$7</c:f>
              <c:strCache>
                <c:ptCount val="1"/>
                <c:pt idx="0">
                  <c:v>Actual (₦)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'Mar-Apr'!$A$8:$A$12</c:f>
              <c:strCache>
                <c:ptCount val="5"/>
                <c:pt idx="0">
                  <c:v>Commodities Fee</c:v>
                </c:pt>
                <c:pt idx="1">
                  <c:v>Shipping Fee</c:v>
                </c:pt>
                <c:pt idx="2">
                  <c:v>Local Logistics Fee</c:v>
                </c:pt>
                <c:pt idx="3">
                  <c:v>Sponsored Meta Ads</c:v>
                </c:pt>
                <c:pt idx="4">
                  <c:v>Delivery Fee</c:v>
                </c:pt>
              </c:strCache>
            </c:strRef>
          </c:cat>
          <c:val>
            <c:numRef>
              <c:f>'Mar-Apr'!$C$8:$C$12</c:f>
              <c:numCache>
                <c:formatCode>"₦"#,##0.00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E6-46C0-AAB8-7BE2BE5122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Expense Category</a:t>
                </a:r>
              </a:p>
            </c:rich>
          </c:tx>
          <c:layout>
            <c:manualLayout>
              <c:xMode val="edge"/>
              <c:yMode val="edge"/>
              <c:x val="0.40397388888888891"/>
              <c:y val="0.9393044444444445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(₦)</a:t>
                </a:r>
              </a:p>
            </c:rich>
          </c:tx>
          <c:overlay val="1"/>
        </c:title>
        <c:numFmt formatCode="&quot;₦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spPr>
    <a:ln w="28575">
      <a:solidFill>
        <a:srgbClr val="00B0F0"/>
      </a:solidFill>
    </a:ln>
    <a:effectLst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convex"/>
    </a:sp3d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May-Jun Expense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'May-Jun'!$B$7</c:f>
              <c:strCache>
                <c:ptCount val="1"/>
                <c:pt idx="0">
                  <c:v>Planned (₦)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'May-Jun'!$A$8:$A$12</c:f>
              <c:strCache>
                <c:ptCount val="5"/>
                <c:pt idx="0">
                  <c:v>Commodities Fee</c:v>
                </c:pt>
                <c:pt idx="1">
                  <c:v>Shipping Fee</c:v>
                </c:pt>
                <c:pt idx="2">
                  <c:v>Local Logistics Fee</c:v>
                </c:pt>
                <c:pt idx="3">
                  <c:v>Sponsored Meta Ads</c:v>
                </c:pt>
                <c:pt idx="4">
                  <c:v>Delivery Fee</c:v>
                </c:pt>
              </c:strCache>
            </c:strRef>
          </c:cat>
          <c:val>
            <c:numRef>
              <c:f>'May-Jun'!$B$8:$B$12</c:f>
              <c:numCache>
                <c:formatCode>"₦"#,##0.00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3-4C57-A77E-896D103CDFE8}"/>
            </c:ext>
          </c:extLst>
        </c:ser>
        <c:ser>
          <c:idx val="1"/>
          <c:order val="1"/>
          <c:tx>
            <c:strRef>
              <c:f>'May-Jun'!$C$7</c:f>
              <c:strCache>
                <c:ptCount val="1"/>
                <c:pt idx="0">
                  <c:v>Actual (₦)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'May-Jun'!$A$8:$A$12</c:f>
              <c:strCache>
                <c:ptCount val="5"/>
                <c:pt idx="0">
                  <c:v>Commodities Fee</c:v>
                </c:pt>
                <c:pt idx="1">
                  <c:v>Shipping Fee</c:v>
                </c:pt>
                <c:pt idx="2">
                  <c:v>Local Logistics Fee</c:v>
                </c:pt>
                <c:pt idx="3">
                  <c:v>Sponsored Meta Ads</c:v>
                </c:pt>
                <c:pt idx="4">
                  <c:v>Delivery Fee</c:v>
                </c:pt>
              </c:strCache>
            </c:strRef>
          </c:cat>
          <c:val>
            <c:numRef>
              <c:f>'May-Jun'!$C$8:$C$12</c:f>
              <c:numCache>
                <c:formatCode>"₦"#,##0.00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3-4C57-A77E-896D103CDF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Expense Category</a:t>
                </a:r>
              </a:p>
            </c:rich>
          </c:tx>
          <c:layout>
            <c:manualLayout>
              <c:xMode val="edge"/>
              <c:yMode val="edge"/>
              <c:x val="0.40632574074074074"/>
              <c:y val="0.93224888888888902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(₦)</a:t>
                </a:r>
              </a:p>
            </c:rich>
          </c:tx>
          <c:overlay val="1"/>
        </c:title>
        <c:numFmt formatCode="&quot;₦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spPr>
    <a:ln w="28575">
      <a:solidFill>
        <a:srgbClr val="00B0F0"/>
      </a:solidFill>
    </a:ln>
    <a:effectLst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convex"/>
    </a:sp3d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Jul-Aug Expense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'Jul-Aug'!$B$7</c:f>
              <c:strCache>
                <c:ptCount val="1"/>
                <c:pt idx="0">
                  <c:v>Planned (₦)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'Jul-Aug'!$A$8:$A$12</c:f>
              <c:strCache>
                <c:ptCount val="5"/>
                <c:pt idx="0">
                  <c:v>Commodities Fee</c:v>
                </c:pt>
                <c:pt idx="1">
                  <c:v>Shipping Fee</c:v>
                </c:pt>
                <c:pt idx="2">
                  <c:v>Local Logistics Fee</c:v>
                </c:pt>
                <c:pt idx="3">
                  <c:v>Sponsored Meta Ads</c:v>
                </c:pt>
                <c:pt idx="4">
                  <c:v>Delivery Fee</c:v>
                </c:pt>
              </c:strCache>
            </c:strRef>
          </c:cat>
          <c:val>
            <c:numRef>
              <c:f>'Jul-Aug'!$B$8:$B$12</c:f>
              <c:numCache>
                <c:formatCode>"₦"#,##0.00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E-450B-82AA-6FB92AAFD17E}"/>
            </c:ext>
          </c:extLst>
        </c:ser>
        <c:ser>
          <c:idx val="1"/>
          <c:order val="1"/>
          <c:tx>
            <c:strRef>
              <c:f>'Jul-Aug'!$C$7</c:f>
              <c:strCache>
                <c:ptCount val="1"/>
                <c:pt idx="0">
                  <c:v>Actual (₦)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'Jul-Aug'!$A$8:$A$12</c:f>
              <c:strCache>
                <c:ptCount val="5"/>
                <c:pt idx="0">
                  <c:v>Commodities Fee</c:v>
                </c:pt>
                <c:pt idx="1">
                  <c:v>Shipping Fee</c:v>
                </c:pt>
                <c:pt idx="2">
                  <c:v>Local Logistics Fee</c:v>
                </c:pt>
                <c:pt idx="3">
                  <c:v>Sponsored Meta Ads</c:v>
                </c:pt>
                <c:pt idx="4">
                  <c:v>Delivery Fee</c:v>
                </c:pt>
              </c:strCache>
            </c:strRef>
          </c:cat>
          <c:val>
            <c:numRef>
              <c:f>'Jul-Aug'!$C$8:$C$12</c:f>
              <c:numCache>
                <c:formatCode>"₦"#,##0.00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E-450B-82AA-6FB92AAFD1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Expense Category</a:t>
                </a:r>
              </a:p>
            </c:rich>
          </c:tx>
          <c:layout>
            <c:manualLayout>
              <c:xMode val="edge"/>
              <c:yMode val="edge"/>
              <c:x val="0.41102944444444445"/>
              <c:y val="0.92519333333333342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(₦)</a:t>
                </a:r>
              </a:p>
            </c:rich>
          </c:tx>
          <c:overlay val="1"/>
        </c:title>
        <c:numFmt formatCode="&quot;₦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spPr>
    <a:ln w="28575">
      <a:solidFill>
        <a:srgbClr val="00B0F0"/>
      </a:solidFill>
    </a:ln>
    <a:effectLst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convex"/>
    </a:sp3d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Sep-Oct Expense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'Sep-Oct'!$B$7</c:f>
              <c:strCache>
                <c:ptCount val="1"/>
                <c:pt idx="0">
                  <c:v>Planned (₦)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'Sep-Oct'!$A$8:$A$12</c:f>
              <c:strCache>
                <c:ptCount val="5"/>
                <c:pt idx="0">
                  <c:v>Commodities Fee</c:v>
                </c:pt>
                <c:pt idx="1">
                  <c:v>Shipping Fee</c:v>
                </c:pt>
                <c:pt idx="2">
                  <c:v>Local Logistics Fee</c:v>
                </c:pt>
                <c:pt idx="3">
                  <c:v>Sponsored Meta Ads</c:v>
                </c:pt>
                <c:pt idx="4">
                  <c:v>Delivery Fee</c:v>
                </c:pt>
              </c:strCache>
            </c:strRef>
          </c:cat>
          <c:val>
            <c:numRef>
              <c:f>'Sep-Oct'!$B$8:$B$12</c:f>
              <c:numCache>
                <c:formatCode>"₦"#,##0.00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0-4A5E-9432-F3D8B052EA2A}"/>
            </c:ext>
          </c:extLst>
        </c:ser>
        <c:ser>
          <c:idx val="1"/>
          <c:order val="1"/>
          <c:tx>
            <c:strRef>
              <c:f>'Sep-Oct'!$C$7</c:f>
              <c:strCache>
                <c:ptCount val="1"/>
                <c:pt idx="0">
                  <c:v>Actual (₦)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'Sep-Oct'!$A$8:$A$12</c:f>
              <c:strCache>
                <c:ptCount val="5"/>
                <c:pt idx="0">
                  <c:v>Commodities Fee</c:v>
                </c:pt>
                <c:pt idx="1">
                  <c:v>Shipping Fee</c:v>
                </c:pt>
                <c:pt idx="2">
                  <c:v>Local Logistics Fee</c:v>
                </c:pt>
                <c:pt idx="3">
                  <c:v>Sponsored Meta Ads</c:v>
                </c:pt>
                <c:pt idx="4">
                  <c:v>Delivery Fee</c:v>
                </c:pt>
              </c:strCache>
            </c:strRef>
          </c:cat>
          <c:val>
            <c:numRef>
              <c:f>'Sep-Oct'!$C$8:$C$12</c:f>
              <c:numCache>
                <c:formatCode>"₦"#,##0.00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0-4A5E-9432-F3D8B052E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Expense Category</a:t>
                </a:r>
              </a:p>
            </c:rich>
          </c:tx>
          <c:layout>
            <c:manualLayout>
              <c:xMode val="edge"/>
              <c:yMode val="edge"/>
              <c:x val="0.40632574074074074"/>
              <c:y val="0.93224888888888902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(₦)</a:t>
                </a:r>
              </a:p>
            </c:rich>
          </c:tx>
          <c:overlay val="1"/>
        </c:title>
        <c:numFmt formatCode="&quot;₦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spPr>
    <a:ln w="28575">
      <a:solidFill>
        <a:srgbClr val="00B0F0"/>
      </a:solidFill>
    </a:ln>
    <a:effectLst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convex"/>
    </a:sp3d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Nov-Dec Expense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'Nov-Dec'!$B$7</c:f>
              <c:strCache>
                <c:ptCount val="1"/>
                <c:pt idx="0">
                  <c:v>Planned (₦)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'Nov-Dec'!$A$8:$A$12</c:f>
              <c:strCache>
                <c:ptCount val="5"/>
                <c:pt idx="0">
                  <c:v>Commodities Fee</c:v>
                </c:pt>
                <c:pt idx="1">
                  <c:v>Shipping Fee</c:v>
                </c:pt>
                <c:pt idx="2">
                  <c:v>Local Logistics Fee</c:v>
                </c:pt>
                <c:pt idx="3">
                  <c:v>Sponsored Meta Ads</c:v>
                </c:pt>
                <c:pt idx="4">
                  <c:v>Delivery Fee</c:v>
                </c:pt>
              </c:strCache>
            </c:strRef>
          </c:cat>
          <c:val>
            <c:numRef>
              <c:f>'Nov-Dec'!$B$8:$B$12</c:f>
              <c:numCache>
                <c:formatCode>"₦"#,##0.00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F-494A-B844-413A72893940}"/>
            </c:ext>
          </c:extLst>
        </c:ser>
        <c:ser>
          <c:idx val="1"/>
          <c:order val="1"/>
          <c:tx>
            <c:strRef>
              <c:f>'Nov-Dec'!$C$7</c:f>
              <c:strCache>
                <c:ptCount val="1"/>
                <c:pt idx="0">
                  <c:v>Actual (₦)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'Nov-Dec'!$A$8:$A$12</c:f>
              <c:strCache>
                <c:ptCount val="5"/>
                <c:pt idx="0">
                  <c:v>Commodities Fee</c:v>
                </c:pt>
                <c:pt idx="1">
                  <c:v>Shipping Fee</c:v>
                </c:pt>
                <c:pt idx="2">
                  <c:v>Local Logistics Fee</c:v>
                </c:pt>
                <c:pt idx="3">
                  <c:v>Sponsored Meta Ads</c:v>
                </c:pt>
                <c:pt idx="4">
                  <c:v>Delivery Fee</c:v>
                </c:pt>
              </c:strCache>
            </c:strRef>
          </c:cat>
          <c:val>
            <c:numRef>
              <c:f>'Nov-Dec'!$C$8:$C$12</c:f>
              <c:numCache>
                <c:formatCode>"₦"#,##0.00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7F-494A-B844-413A72893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Expense Category</a:t>
                </a:r>
              </a:p>
            </c:rich>
          </c:tx>
          <c:layout>
            <c:manualLayout>
              <c:xMode val="edge"/>
              <c:yMode val="edge"/>
              <c:x val="0.40632574074074074"/>
              <c:y val="0.93224888888888902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(₦)</a:t>
                </a:r>
              </a:p>
            </c:rich>
          </c:tx>
          <c:overlay val="1"/>
        </c:title>
        <c:numFmt formatCode="&quot;₦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spPr>
    <a:ln w="28575">
      <a:solidFill>
        <a:srgbClr val="00B0F0"/>
      </a:solidFill>
    </a:ln>
    <a:effectLst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convex"/>
    </a:sp3d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221788</xdr:colOff>
      <xdr:row>15</xdr:row>
      <xdr:rowOff>91440</xdr:rowOff>
    </xdr:from>
    <xdr:ext cx="5950500" cy="19921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289560</xdr:colOff>
      <xdr:row>6</xdr:row>
      <xdr:rowOff>175260</xdr:rowOff>
    </xdr:from>
    <xdr:ext cx="5692140" cy="366522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49"/>
  <sheetViews>
    <sheetView showGridLines="0" showRowColHeaders="0" zoomScale="95" zoomScaleNormal="100" workbookViewId="0">
      <selection activeCell="O14" sqref="O14:P15"/>
    </sheetView>
  </sheetViews>
  <sheetFormatPr defaultRowHeight="14.4" x14ac:dyDescent="0.3"/>
  <cols>
    <col min="1" max="3" width="6" customWidth="1"/>
    <col min="4" max="4" width="12.77734375" bestFit="1" customWidth="1"/>
    <col min="5" max="20" width="6" customWidth="1"/>
    <col min="23" max="23" width="11.44140625" bestFit="1" customWidth="1"/>
    <col min="26" max="26" width="11.88671875" bestFit="1" customWidth="1"/>
  </cols>
  <sheetData>
    <row r="1" spans="1:31 16380:16383" ht="14.4" customHeight="1" x14ac:dyDescent="0.3">
      <c r="A1" s="37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2" t="s">
        <v>6</v>
      </c>
      <c r="V1" s="22"/>
      <c r="W1" s="22"/>
      <c r="X1" s="22"/>
      <c r="Y1" s="22"/>
      <c r="Z1" s="22"/>
      <c r="AA1" s="22"/>
      <c r="AB1" s="1"/>
      <c r="AC1" s="1"/>
      <c r="AD1" s="1"/>
    </row>
    <row r="2" spans="1:31 16380:16383" ht="15.6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3" t="s">
        <v>9</v>
      </c>
      <c r="V2" s="23"/>
      <c r="W2" s="23"/>
      <c r="X2" s="23"/>
      <c r="Y2" s="23"/>
      <c r="Z2" s="43">
        <f>'Annual Summary'!C11</f>
        <v>0.16666666666666666</v>
      </c>
      <c r="AA2" s="43"/>
      <c r="AB2" s="2"/>
      <c r="AC2" s="2"/>
      <c r="AD2" s="2"/>
    </row>
    <row r="3" spans="1:31 16380:16383" ht="15.6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3" t="s">
        <v>10</v>
      </c>
      <c r="V3" s="23"/>
      <c r="W3" s="23"/>
      <c r="X3" s="23"/>
      <c r="Y3" s="23"/>
      <c r="Z3" s="43">
        <f>'Annual Summary'!C12</f>
        <v>0.83333333333333337</v>
      </c>
      <c r="AA3" s="43"/>
      <c r="AB3" s="1"/>
      <c r="AC3" s="1"/>
      <c r="AD3" s="1"/>
    </row>
    <row r="4" spans="1:31 16380:16383" ht="15.6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3" t="s">
        <v>11</v>
      </c>
      <c r="V4" s="23"/>
      <c r="W4" s="23"/>
      <c r="X4" s="23"/>
      <c r="Y4" s="23"/>
      <c r="Z4" s="44">
        <f>'Annual Summary'!C10</f>
        <v>10000</v>
      </c>
      <c r="AA4" s="44"/>
      <c r="AB4" s="2"/>
      <c r="AC4" s="2"/>
      <c r="AD4" s="2"/>
    </row>
    <row r="5" spans="1:31 16380:16383" ht="14.4" customHeight="1" x14ac:dyDescent="0.55000000000000004">
      <c r="A5" s="24" t="s">
        <v>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1" t="s">
        <v>8</v>
      </c>
      <c r="V5" s="21"/>
      <c r="W5" s="21"/>
      <c r="X5" s="21"/>
      <c r="Y5" s="21"/>
      <c r="Z5" s="21"/>
      <c r="AA5" s="21"/>
      <c r="AB5" s="21"/>
      <c r="AC5" s="21"/>
      <c r="AD5" s="1"/>
      <c r="AE5" s="20"/>
      <c r="XEZ5" s="1" t="s">
        <v>12</v>
      </c>
      <c r="XFA5" s="1" t="s">
        <v>13</v>
      </c>
      <c r="XFB5" s="1" t="s">
        <v>14</v>
      </c>
      <c r="XFC5" s="1" t="s">
        <v>15</v>
      </c>
    </row>
    <row r="6" spans="1:31 16380:16383" ht="14.4" customHeight="1" x14ac:dyDescent="0.55000000000000004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1"/>
      <c r="V6" s="21"/>
      <c r="W6" s="21"/>
      <c r="X6" s="21"/>
      <c r="Y6" s="21"/>
      <c r="Z6" s="21"/>
      <c r="AA6" s="21"/>
      <c r="AB6" s="21"/>
      <c r="AC6" s="21"/>
      <c r="AD6" s="2"/>
      <c r="AE6" s="20"/>
      <c r="XEZ6" s="2" t="s">
        <v>17</v>
      </c>
      <c r="XFA6" s="2">
        <f>'Jan-Feb'!C14</f>
        <v>50000</v>
      </c>
      <c r="XFB6" s="2">
        <f>'Jan-Feb'!C16</f>
        <v>60000</v>
      </c>
      <c r="XFC6" s="2">
        <f t="shared" ref="XFC6:XFC11" si="0">IF(XEZ6=$O$14,XFA6,NA())</f>
        <v>50000</v>
      </c>
    </row>
    <row r="7" spans="1:31 16380:16383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XEZ7" s="1" t="s">
        <v>18</v>
      </c>
      <c r="XFA7" s="1">
        <f>'Mar-Apr'!C13</f>
        <v>0</v>
      </c>
      <c r="XFB7" s="1">
        <f>'Mar-Apr'!C15</f>
        <v>0</v>
      </c>
      <c r="XFC7" s="1" t="e">
        <f t="shared" si="0"/>
        <v>#N/A</v>
      </c>
    </row>
    <row r="8" spans="1:31 16380:16383" x14ac:dyDescent="0.3">
      <c r="A8" s="2"/>
      <c r="B8" s="33" t="s">
        <v>2</v>
      </c>
      <c r="C8" s="27"/>
      <c r="D8" s="27"/>
      <c r="E8" s="27"/>
      <c r="F8" s="32" t="s">
        <v>3</v>
      </c>
      <c r="G8" s="29"/>
      <c r="H8" s="29"/>
      <c r="I8" s="29"/>
      <c r="J8" s="34" t="s">
        <v>4</v>
      </c>
      <c r="K8" s="35"/>
      <c r="L8" s="35"/>
      <c r="M8" s="35"/>
      <c r="N8" s="30" t="s">
        <v>5</v>
      </c>
      <c r="O8" s="31"/>
      <c r="P8" s="31"/>
      <c r="Q8" s="31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XEZ8" s="2" t="s">
        <v>19</v>
      </c>
      <c r="XFA8" s="2">
        <f>'May-Jun'!C13</f>
        <v>0</v>
      </c>
      <c r="XFB8" s="2">
        <f>'May-Jun'!C15</f>
        <v>0</v>
      </c>
      <c r="XFC8" s="2" t="e">
        <f t="shared" si="0"/>
        <v>#N/A</v>
      </c>
    </row>
    <row r="9" spans="1:31 16380:16383" x14ac:dyDescent="0.3">
      <c r="A9" s="1"/>
      <c r="B9" s="27"/>
      <c r="C9" s="27"/>
      <c r="D9" s="27"/>
      <c r="E9" s="27"/>
      <c r="F9" s="29"/>
      <c r="G9" s="29"/>
      <c r="H9" s="29"/>
      <c r="I9" s="29"/>
      <c r="J9" s="35"/>
      <c r="K9" s="35"/>
      <c r="L9" s="35"/>
      <c r="M9" s="35"/>
      <c r="N9" s="31"/>
      <c r="O9" s="31"/>
      <c r="P9" s="31"/>
      <c r="Q9" s="3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XEZ9" s="1" t="s">
        <v>20</v>
      </c>
      <c r="XFA9" s="1">
        <f>'Jul-Aug'!C13</f>
        <v>0</v>
      </c>
      <c r="XFB9" s="1">
        <f>'Jul-Aug'!C15</f>
        <v>0</v>
      </c>
      <c r="XFC9" s="1" t="e">
        <f t="shared" si="0"/>
        <v>#N/A</v>
      </c>
    </row>
    <row r="10" spans="1:31 16380:16383" x14ac:dyDescent="0.3">
      <c r="A10" s="2"/>
      <c r="B10" s="26">
        <f>'Annual Summary'!C5</f>
        <v>1000000</v>
      </c>
      <c r="C10" s="27"/>
      <c r="D10" s="27"/>
      <c r="E10" s="27"/>
      <c r="F10" s="28">
        <f>'Annual Summary'!C6</f>
        <v>1010000</v>
      </c>
      <c r="G10" s="29"/>
      <c r="H10" s="29"/>
      <c r="I10" s="29"/>
      <c r="J10" s="36">
        <f>'Annual Summary'!C9</f>
        <v>60000</v>
      </c>
      <c r="K10" s="35"/>
      <c r="L10" s="35"/>
      <c r="M10" s="35"/>
      <c r="N10" s="38">
        <f>'Annual Summary'!C8</f>
        <v>50000</v>
      </c>
      <c r="O10" s="31"/>
      <c r="P10" s="31"/>
      <c r="Q10" s="31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XEZ10" s="2" t="s">
        <v>21</v>
      </c>
      <c r="XFA10" s="2">
        <f>'Sep-Oct'!C13</f>
        <v>0</v>
      </c>
      <c r="XFB10" s="2">
        <f>'Sep-Oct'!C15</f>
        <v>0</v>
      </c>
      <c r="XFC10" s="2" t="e">
        <f t="shared" si="0"/>
        <v>#N/A</v>
      </c>
    </row>
    <row r="11" spans="1:31 16380:16383" x14ac:dyDescent="0.3">
      <c r="A11" s="1"/>
      <c r="B11" s="27"/>
      <c r="C11" s="27"/>
      <c r="D11" s="27"/>
      <c r="E11" s="27"/>
      <c r="F11" s="29"/>
      <c r="G11" s="29"/>
      <c r="H11" s="29"/>
      <c r="I11" s="29"/>
      <c r="J11" s="35"/>
      <c r="K11" s="35"/>
      <c r="L11" s="35"/>
      <c r="M11" s="35"/>
      <c r="N11" s="31"/>
      <c r="O11" s="31"/>
      <c r="P11" s="31"/>
      <c r="Q11" s="3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XEZ11" s="1" t="s">
        <v>22</v>
      </c>
      <c r="XFA11" s="1">
        <f>'Nov-Dec'!C13</f>
        <v>0</v>
      </c>
      <c r="XFB11" s="1">
        <f>'Nov-Dec'!C15</f>
        <v>0</v>
      </c>
      <c r="XFC11" s="1" t="e">
        <f t="shared" si="0"/>
        <v>#N/A</v>
      </c>
    </row>
    <row r="12" spans="1:31 16380:16383" ht="15" thickBot="1" x14ac:dyDescent="0.35">
      <c r="A12" s="2"/>
      <c r="B12" s="27"/>
      <c r="C12" s="27"/>
      <c r="D12" s="27"/>
      <c r="E12" s="27"/>
      <c r="F12" s="29"/>
      <c r="G12" s="29"/>
      <c r="H12" s="29"/>
      <c r="I12" s="29"/>
      <c r="J12" s="35"/>
      <c r="K12" s="35"/>
      <c r="L12" s="35"/>
      <c r="M12" s="35"/>
      <c r="N12" s="31"/>
      <c r="O12" s="31"/>
      <c r="P12" s="31"/>
      <c r="Q12" s="31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 16380:1638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1 16380:1638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9" t="s">
        <v>16</v>
      </c>
      <c r="M14" s="39"/>
      <c r="N14" s="39"/>
      <c r="O14" s="40" t="s">
        <v>17</v>
      </c>
      <c r="P14" s="41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1 16380:16383" ht="15.6" x14ac:dyDescent="0.3">
      <c r="A15" s="1"/>
      <c r="B15" s="1"/>
      <c r="C15" s="1"/>
      <c r="D15" s="42" t="s">
        <v>7</v>
      </c>
      <c r="E15" s="42"/>
      <c r="F15" s="42"/>
      <c r="G15" s="42"/>
      <c r="H15" s="42"/>
      <c r="I15" s="42"/>
      <c r="J15" s="42"/>
      <c r="K15" s="42"/>
      <c r="L15" s="39"/>
      <c r="M15" s="39"/>
      <c r="N15" s="39"/>
      <c r="O15" s="41"/>
      <c r="P15" s="4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1 16380:1638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6" customHeight="1" x14ac:dyDescent="0.3">
      <c r="A28" s="2"/>
      <c r="B28" s="2"/>
      <c r="C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4.4" customHeight="1" x14ac:dyDescent="0.3">
      <c r="A29" s="1"/>
      <c r="B29" s="1"/>
      <c r="C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3">
      <c r="E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3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E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3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3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</sheetData>
  <sheetProtection algorithmName="SHA-512" hashValue="eARdwpgT43XIv4TDrUwaFS+y1bFOqEOu3sTPI5UQKnkuFLDUec2Sy37Y/ppbOHwjO/YBfYMwWfbIOJ0aI1LryQ==" saltValue="9fSzS8LQJ/nCRr339AkrXw==" spinCount="100000" sheet="1" objects="1" scenarios="1"/>
  <mergeCells count="21">
    <mergeCell ref="L14:N15"/>
    <mergeCell ref="O14:P15"/>
    <mergeCell ref="D15:K15"/>
    <mergeCell ref="U3:Y3"/>
    <mergeCell ref="U4:Y4"/>
    <mergeCell ref="U5:AC6"/>
    <mergeCell ref="U1:AA1"/>
    <mergeCell ref="U2:Y2"/>
    <mergeCell ref="A5:T6"/>
    <mergeCell ref="B10:E12"/>
    <mergeCell ref="F10:I12"/>
    <mergeCell ref="N8:Q9"/>
    <mergeCell ref="F8:I9"/>
    <mergeCell ref="B8:E9"/>
    <mergeCell ref="J8:M9"/>
    <mergeCell ref="J10:M12"/>
    <mergeCell ref="A1:T4"/>
    <mergeCell ref="N10:Q12"/>
    <mergeCell ref="Z2:AA2"/>
    <mergeCell ref="Z3:AA3"/>
    <mergeCell ref="Z4:AA4"/>
  </mergeCells>
  <dataValidations count="1">
    <dataValidation type="list" errorTitle="Invalid Period" error="Please select a valid bi-monthly period" promptTitle="Current Period Selector" prompt="Select the current bi-monthly period" sqref="O14" xr:uid="{00000000-0002-0000-0000-000000000000}">
      <formula1>"Jan-Feb,Mar-Apr,May-Jun,Jul-Aug,Sep-Oct,Nov-Dec"</formula1>
    </dataValidation>
  </dataValidations>
  <pageMargins left="0.75" right="0.75" top="1" bottom="1" header="0.5" footer="0.5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showRowColHeaders="0" workbookViewId="0">
      <selection activeCell="C11" sqref="C11:E11"/>
    </sheetView>
  </sheetViews>
  <sheetFormatPr defaultRowHeight="14.4" x14ac:dyDescent="0.3"/>
  <cols>
    <col min="1" max="1" width="20.88671875" customWidth="1"/>
    <col min="2" max="3" width="13.109375" bestFit="1" customWidth="1"/>
  </cols>
  <sheetData>
    <row r="1" spans="1:6" ht="23.4" x14ac:dyDescent="0.3">
      <c r="A1" s="46" t="s">
        <v>23</v>
      </c>
      <c r="B1" s="25"/>
      <c r="C1" s="25"/>
      <c r="D1" s="25"/>
      <c r="E1" s="25"/>
      <c r="F1" s="25"/>
    </row>
    <row r="2" spans="1:6" x14ac:dyDescent="0.3">
      <c r="A2" s="45" t="s">
        <v>24</v>
      </c>
      <c r="B2" s="25"/>
      <c r="C2" s="25"/>
      <c r="D2" s="25"/>
      <c r="E2" s="25"/>
      <c r="F2" s="25"/>
    </row>
    <row r="4" spans="1:6" x14ac:dyDescent="0.3">
      <c r="A4" s="47" t="s">
        <v>25</v>
      </c>
      <c r="B4" s="48"/>
      <c r="C4" s="53" t="s">
        <v>26</v>
      </c>
      <c r="D4" s="54"/>
      <c r="E4" s="54"/>
    </row>
    <row r="5" spans="1:6" x14ac:dyDescent="0.3">
      <c r="A5" s="49" t="s">
        <v>27</v>
      </c>
      <c r="B5" s="50"/>
      <c r="C5" s="55">
        <v>1000000</v>
      </c>
      <c r="D5" s="56"/>
      <c r="E5" s="56"/>
    </row>
    <row r="6" spans="1:6" x14ac:dyDescent="0.3">
      <c r="A6" s="51" t="s">
        <v>28</v>
      </c>
      <c r="B6" s="52"/>
      <c r="C6" s="57">
        <f>C5+C10</f>
        <v>1010000</v>
      </c>
      <c r="D6" s="58"/>
      <c r="E6" s="58"/>
    </row>
    <row r="7" spans="1:6" x14ac:dyDescent="0.3">
      <c r="A7" s="49" t="s">
        <v>29</v>
      </c>
      <c r="B7" s="50"/>
      <c r="C7" s="55">
        <f>SUM('Jan-Feb'!B14,'Mar-Apr'!B13,'May-Jun'!B13,'Jul-Aug'!B13,'Sep-Oct'!B13,'Nov-Dec'!B13)</f>
        <v>40000</v>
      </c>
      <c r="D7" s="56"/>
      <c r="E7" s="56"/>
    </row>
    <row r="8" spans="1:6" x14ac:dyDescent="0.3">
      <c r="A8" s="51" t="s">
        <v>30</v>
      </c>
      <c r="B8" s="52"/>
      <c r="C8" s="57">
        <f>SUM('Jan-Feb'!C14,'Mar-Apr'!C13,'May-Jun'!C13,'Jul-Aug'!C13,'Sep-Oct'!C13,'Nov-Dec'!C13)</f>
        <v>50000</v>
      </c>
      <c r="D8" s="58"/>
      <c r="E8" s="58"/>
    </row>
    <row r="9" spans="1:6" x14ac:dyDescent="0.3">
      <c r="A9" s="49" t="s">
        <v>31</v>
      </c>
      <c r="B9" s="50"/>
      <c r="C9" s="55">
        <f>SUM('Jan-Feb'!C16,'Mar-Apr'!C15,'May-Jun'!C15,'Jul-Aug'!C15,'Sep-Oct'!C15,'Nov-Dec'!C15)</f>
        <v>60000</v>
      </c>
      <c r="D9" s="56"/>
      <c r="E9" s="56"/>
    </row>
    <row r="10" spans="1:6" x14ac:dyDescent="0.3">
      <c r="A10" s="51" t="s">
        <v>11</v>
      </c>
      <c r="B10" s="52"/>
      <c r="C10" s="57">
        <f>C9-C8</f>
        <v>10000</v>
      </c>
      <c r="D10" s="58"/>
      <c r="E10" s="58"/>
    </row>
    <row r="11" spans="1:6" x14ac:dyDescent="0.3">
      <c r="A11" s="49" t="s">
        <v>32</v>
      </c>
      <c r="B11" s="50"/>
      <c r="C11" s="59">
        <f>IF(C9=0,0,(C9-C8)/C9)</f>
        <v>0.16666666666666666</v>
      </c>
      <c r="D11" s="60"/>
      <c r="E11" s="60"/>
    </row>
    <row r="12" spans="1:6" x14ac:dyDescent="0.3">
      <c r="A12" s="51" t="s">
        <v>33</v>
      </c>
      <c r="B12" s="52"/>
      <c r="C12" s="61">
        <f>IF(C9=0,0,C8/C9)</f>
        <v>0.83333333333333337</v>
      </c>
      <c r="D12" s="62"/>
      <c r="E12" s="62"/>
    </row>
  </sheetData>
  <sheetProtection algorithmName="SHA-512" hashValue="pkOPVreFgUOgir/HFfIOu4utbuPeDKJ5tVenWSdp+0VrA54RBlVqmLm0YkM7cApWJ4r+bAvGxdRfTAeUjsNGaA==" saltValue="aAcuV3h1xg6k4CHru4NODg==" spinCount="100000" sheet="1" objects="1" scenarios="1"/>
  <mergeCells count="20">
    <mergeCell ref="A12:B1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A6:B6"/>
    <mergeCell ref="A7:B7"/>
    <mergeCell ref="A8:B8"/>
    <mergeCell ref="A9:B9"/>
    <mergeCell ref="A10:B10"/>
    <mergeCell ref="A2:F2"/>
    <mergeCell ref="A1:F1"/>
    <mergeCell ref="A4:B4"/>
    <mergeCell ref="A5:B5"/>
    <mergeCell ref="A11:B1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workbookViewId="0">
      <selection activeCell="D24" sqref="D24"/>
    </sheetView>
  </sheetViews>
  <sheetFormatPr defaultRowHeight="14.4" x14ac:dyDescent="0.3"/>
  <cols>
    <col min="1" max="1" width="25" customWidth="1"/>
    <col min="2" max="5" width="15" customWidth="1"/>
  </cols>
  <sheetData>
    <row r="1" spans="1:6" s="14" customFormat="1" x14ac:dyDescent="0.3">
      <c r="A1" s="67" t="s">
        <v>57</v>
      </c>
      <c r="B1" s="67"/>
      <c r="C1" s="67"/>
      <c r="D1" s="67"/>
      <c r="E1" s="67"/>
      <c r="F1" s="67"/>
    </row>
    <row r="2" spans="1:6" ht="21" x14ac:dyDescent="0.3">
      <c r="A2" s="66" t="s">
        <v>34</v>
      </c>
      <c r="B2" s="25"/>
      <c r="C2" s="25"/>
      <c r="D2" s="25"/>
      <c r="E2" s="25"/>
      <c r="F2" s="25"/>
    </row>
    <row r="4" spans="1:6" x14ac:dyDescent="0.3">
      <c r="A4" s="4" t="s">
        <v>35</v>
      </c>
      <c r="B4" s="5" t="s">
        <v>36</v>
      </c>
    </row>
    <row r="5" spans="1:6" ht="15.6" x14ac:dyDescent="0.3">
      <c r="A5" s="3">
        <f>'Annual Summary'!C5</f>
        <v>1000000</v>
      </c>
      <c r="B5" s="6">
        <f>A5+B18</f>
        <v>1010000</v>
      </c>
    </row>
    <row r="7" spans="1:6" ht="17.399999999999999" x14ac:dyDescent="0.35">
      <c r="A7" s="65" t="s">
        <v>37</v>
      </c>
      <c r="B7" s="25"/>
      <c r="C7" s="25"/>
      <c r="D7" s="25"/>
      <c r="E7" s="25"/>
      <c r="F7" s="25"/>
    </row>
    <row r="8" spans="1:6" x14ac:dyDescent="0.3">
      <c r="A8" s="15" t="s">
        <v>38</v>
      </c>
      <c r="B8" s="15" t="s">
        <v>39</v>
      </c>
      <c r="C8" s="15" t="s">
        <v>40</v>
      </c>
      <c r="D8" s="15" t="s">
        <v>41</v>
      </c>
      <c r="E8" s="15" t="s">
        <v>42</v>
      </c>
    </row>
    <row r="9" spans="1:6" x14ac:dyDescent="0.3">
      <c r="A9" s="7" t="s">
        <v>43</v>
      </c>
      <c r="B9" s="8">
        <v>40000</v>
      </c>
      <c r="C9" s="8">
        <v>35000</v>
      </c>
      <c r="D9" s="9">
        <f t="shared" ref="D9:D14" si="0">B9-C9</f>
        <v>5000</v>
      </c>
      <c r="E9" s="10">
        <f t="shared" ref="E9:E14" si="1">IF(B9=0,0,D9/B9)</f>
        <v>0.125</v>
      </c>
    </row>
    <row r="10" spans="1:6" x14ac:dyDescent="0.3">
      <c r="A10" s="7" t="s">
        <v>44</v>
      </c>
      <c r="B10" s="8">
        <v>0</v>
      </c>
      <c r="C10" s="8">
        <v>5000</v>
      </c>
      <c r="D10" s="9">
        <f t="shared" si="0"/>
        <v>-5000</v>
      </c>
      <c r="E10" s="10">
        <f t="shared" si="1"/>
        <v>0</v>
      </c>
    </row>
    <row r="11" spans="1:6" x14ac:dyDescent="0.3">
      <c r="A11" s="7" t="s">
        <v>45</v>
      </c>
      <c r="B11" s="8">
        <v>0</v>
      </c>
      <c r="C11" s="8">
        <v>10000</v>
      </c>
      <c r="D11" s="9">
        <f t="shared" si="0"/>
        <v>-10000</v>
      </c>
      <c r="E11" s="10">
        <f t="shared" si="1"/>
        <v>0</v>
      </c>
    </row>
    <row r="12" spans="1:6" x14ac:dyDescent="0.3">
      <c r="A12" s="7" t="s">
        <v>46</v>
      </c>
      <c r="B12" s="8">
        <v>0</v>
      </c>
      <c r="C12" s="8">
        <v>0</v>
      </c>
      <c r="D12" s="9">
        <f t="shared" si="0"/>
        <v>0</v>
      </c>
      <c r="E12" s="10">
        <f t="shared" si="1"/>
        <v>0</v>
      </c>
    </row>
    <row r="13" spans="1:6" x14ac:dyDescent="0.3">
      <c r="A13" s="7" t="s">
        <v>47</v>
      </c>
      <c r="B13" s="8">
        <v>0</v>
      </c>
      <c r="C13" s="8">
        <v>0</v>
      </c>
      <c r="D13" s="9">
        <f t="shared" si="0"/>
        <v>0</v>
      </c>
      <c r="E13" s="10">
        <f t="shared" si="1"/>
        <v>0</v>
      </c>
    </row>
    <row r="14" spans="1:6" x14ac:dyDescent="0.3">
      <c r="A14" s="11" t="s">
        <v>48</v>
      </c>
      <c r="B14" s="16">
        <f>SUM(B9:B13)</f>
        <v>40000</v>
      </c>
      <c r="C14" s="16">
        <f>SUM(C9:C13)</f>
        <v>50000</v>
      </c>
      <c r="D14" s="16">
        <f t="shared" si="0"/>
        <v>-10000</v>
      </c>
      <c r="E14" s="17">
        <f t="shared" si="1"/>
        <v>-0.25</v>
      </c>
    </row>
    <row r="15" spans="1:6" ht="17.399999999999999" x14ac:dyDescent="0.35">
      <c r="A15" s="63" t="s">
        <v>49</v>
      </c>
      <c r="B15" s="64"/>
      <c r="C15" s="64"/>
      <c r="D15" s="64"/>
      <c r="E15" s="64"/>
      <c r="F15" s="25"/>
    </row>
    <row r="16" spans="1:6" x14ac:dyDescent="0.3">
      <c r="A16" s="7" t="s">
        <v>50</v>
      </c>
      <c r="B16" s="12"/>
      <c r="C16" s="18">
        <v>60000</v>
      </c>
      <c r="D16" s="12"/>
      <c r="E16" s="12"/>
    </row>
    <row r="17" spans="1:5" x14ac:dyDescent="0.3">
      <c r="A17" s="12"/>
      <c r="B17" s="12"/>
      <c r="C17" s="12"/>
      <c r="D17" s="12"/>
      <c r="E17" s="12"/>
    </row>
    <row r="18" spans="1:5" ht="18" x14ac:dyDescent="0.35">
      <c r="A18" s="13" t="s">
        <v>51</v>
      </c>
      <c r="B18" s="19">
        <f>C16-C14</f>
        <v>10000</v>
      </c>
      <c r="C18" s="12"/>
      <c r="D18" s="12"/>
      <c r="E18" s="12"/>
    </row>
  </sheetData>
  <sheetProtection algorithmName="SHA-512" hashValue="Q4DXWW4NVb48CuIanwU7ZdD/A2JirITRdHAgogh4d+7plvCd18Q0AXnzaMtwKoys+YqS7k7IfOkqzsyCAfKlzg==" saltValue="oO3GrPs2RzC8x9c6IO+XaA==" spinCount="100000" sheet="1" objects="1" scenarios="1"/>
  <mergeCells count="4">
    <mergeCell ref="A15:F15"/>
    <mergeCell ref="A7:F7"/>
    <mergeCell ref="A2:F2"/>
    <mergeCell ref="A1:F1"/>
  </mergeCells>
  <conditionalFormatting sqref="D9:D13">
    <cfRule type="cellIs" dxfId="11" priority="1" operator="greaterThan">
      <formula>0</formula>
    </cfRule>
    <cfRule type="cellIs" dxfId="10" priority="2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showRowColHeaders="0" workbookViewId="0">
      <selection activeCell="D23" sqref="D23"/>
    </sheetView>
  </sheetViews>
  <sheetFormatPr defaultRowHeight="14.4" x14ac:dyDescent="0.3"/>
  <cols>
    <col min="1" max="1" width="25" customWidth="1"/>
    <col min="2" max="5" width="15" customWidth="1"/>
  </cols>
  <sheetData>
    <row r="1" spans="1:6" ht="21" x14ac:dyDescent="0.3">
      <c r="A1" s="66" t="s">
        <v>52</v>
      </c>
      <c r="B1" s="25"/>
      <c r="C1" s="25"/>
      <c r="D1" s="25"/>
      <c r="E1" s="25"/>
      <c r="F1" s="25"/>
    </row>
    <row r="3" spans="1:6" x14ac:dyDescent="0.3">
      <c r="A3" s="4" t="s">
        <v>35</v>
      </c>
      <c r="B3" s="5" t="s">
        <v>36</v>
      </c>
    </row>
    <row r="4" spans="1:6" ht="15.6" x14ac:dyDescent="0.3">
      <c r="A4" s="3">
        <f>'Jan-Feb'!B5</f>
        <v>1010000</v>
      </c>
      <c r="B4" s="6">
        <f>A4+B17</f>
        <v>1010000</v>
      </c>
    </row>
    <row r="6" spans="1:6" ht="17.399999999999999" x14ac:dyDescent="0.35">
      <c r="A6" s="65" t="s">
        <v>37</v>
      </c>
      <c r="B6" s="25"/>
      <c r="C6" s="25"/>
      <c r="D6" s="25"/>
      <c r="E6" s="25"/>
      <c r="F6" s="25"/>
    </row>
    <row r="7" spans="1:6" x14ac:dyDescent="0.3">
      <c r="A7" s="15" t="s">
        <v>38</v>
      </c>
      <c r="B7" s="15" t="s">
        <v>39</v>
      </c>
      <c r="C7" s="15" t="s">
        <v>40</v>
      </c>
      <c r="D7" s="15" t="s">
        <v>41</v>
      </c>
      <c r="E7" s="15" t="s">
        <v>42</v>
      </c>
    </row>
    <row r="8" spans="1:6" x14ac:dyDescent="0.3">
      <c r="A8" s="7" t="s">
        <v>43</v>
      </c>
      <c r="B8" s="8">
        <v>0</v>
      </c>
      <c r="C8" s="8">
        <v>0</v>
      </c>
      <c r="D8" s="9">
        <f t="shared" ref="D8:D13" si="0">B8-C8</f>
        <v>0</v>
      </c>
      <c r="E8" s="10">
        <f t="shared" ref="E8:E13" si="1">IF(B8=0,0,D8/B8)</f>
        <v>0</v>
      </c>
    </row>
    <row r="9" spans="1:6" x14ac:dyDescent="0.3">
      <c r="A9" s="7" t="s">
        <v>44</v>
      </c>
      <c r="B9" s="8">
        <v>0</v>
      </c>
      <c r="C9" s="8">
        <v>0</v>
      </c>
      <c r="D9" s="9">
        <f t="shared" si="0"/>
        <v>0</v>
      </c>
      <c r="E9" s="10">
        <f t="shared" si="1"/>
        <v>0</v>
      </c>
    </row>
    <row r="10" spans="1:6" x14ac:dyDescent="0.3">
      <c r="A10" s="7" t="s">
        <v>45</v>
      </c>
      <c r="B10" s="8">
        <v>0</v>
      </c>
      <c r="C10" s="8">
        <v>0</v>
      </c>
      <c r="D10" s="9">
        <f t="shared" si="0"/>
        <v>0</v>
      </c>
      <c r="E10" s="10">
        <f t="shared" si="1"/>
        <v>0</v>
      </c>
    </row>
    <row r="11" spans="1:6" x14ac:dyDescent="0.3">
      <c r="A11" s="7" t="s">
        <v>46</v>
      </c>
      <c r="B11" s="8">
        <v>0</v>
      </c>
      <c r="C11" s="8">
        <v>0</v>
      </c>
      <c r="D11" s="9">
        <f t="shared" si="0"/>
        <v>0</v>
      </c>
      <c r="E11" s="10">
        <f t="shared" si="1"/>
        <v>0</v>
      </c>
    </row>
    <row r="12" spans="1:6" x14ac:dyDescent="0.3">
      <c r="A12" s="7" t="s">
        <v>47</v>
      </c>
      <c r="B12" s="8">
        <v>0</v>
      </c>
      <c r="C12" s="8">
        <v>0</v>
      </c>
      <c r="D12" s="9">
        <f t="shared" si="0"/>
        <v>0</v>
      </c>
      <c r="E12" s="10">
        <f t="shared" si="1"/>
        <v>0</v>
      </c>
    </row>
    <row r="13" spans="1:6" x14ac:dyDescent="0.3">
      <c r="A13" s="11" t="s">
        <v>48</v>
      </c>
      <c r="B13" s="16">
        <f>SUM(B8:B12)</f>
        <v>0</v>
      </c>
      <c r="C13" s="16">
        <f>SUM(C8:C12)</f>
        <v>0</v>
      </c>
      <c r="D13" s="16">
        <f t="shared" si="0"/>
        <v>0</v>
      </c>
      <c r="E13" s="17">
        <f t="shared" si="1"/>
        <v>0</v>
      </c>
    </row>
    <row r="14" spans="1:6" ht="17.399999999999999" x14ac:dyDescent="0.35">
      <c r="A14" s="63" t="s">
        <v>49</v>
      </c>
      <c r="B14" s="64"/>
      <c r="C14" s="64"/>
      <c r="D14" s="64"/>
      <c r="E14" s="64"/>
      <c r="F14" s="25"/>
    </row>
    <row r="15" spans="1:6" x14ac:dyDescent="0.3">
      <c r="A15" s="7" t="s">
        <v>50</v>
      </c>
      <c r="B15" s="12"/>
      <c r="C15" s="18">
        <v>0</v>
      </c>
      <c r="D15" s="12"/>
      <c r="E15" s="12"/>
    </row>
    <row r="16" spans="1:6" x14ac:dyDescent="0.3">
      <c r="A16" s="12"/>
      <c r="B16" s="12"/>
      <c r="C16" s="12"/>
      <c r="D16" s="12"/>
      <c r="E16" s="12"/>
    </row>
    <row r="17" spans="1:5" ht="18" x14ac:dyDescent="0.35">
      <c r="A17" s="13" t="s">
        <v>51</v>
      </c>
      <c r="B17" s="19">
        <f>C15-C13</f>
        <v>0</v>
      </c>
      <c r="C17" s="12"/>
      <c r="D17" s="12"/>
      <c r="E17" s="12"/>
    </row>
  </sheetData>
  <sheetProtection algorithmName="SHA-512" hashValue="kOHvTr0gRZiEFvRI8EXX+CqKAriq35gOopeNdLllLcQH9l4w/dv6xnYw6J/b8SykYRib5kVnRDObUBKzJF+3tw==" saltValue="J81KtrJyXDGCEX/H+/1PeQ==" spinCount="100000" sheet="1" objects="1" scenarios="1"/>
  <mergeCells count="3">
    <mergeCell ref="A14:F14"/>
    <mergeCell ref="A6:F6"/>
    <mergeCell ref="A1:F1"/>
  </mergeCells>
  <conditionalFormatting sqref="D8:D12">
    <cfRule type="cellIs" dxfId="9" priority="1" operator="greaterThan">
      <formula>0</formula>
    </cfRule>
    <cfRule type="cellIs" dxfId="8" priority="2" operator="lessThan">
      <formula>0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showRowColHeaders="0" workbookViewId="0">
      <selection activeCell="D20" sqref="D20"/>
    </sheetView>
  </sheetViews>
  <sheetFormatPr defaultRowHeight="14.4" x14ac:dyDescent="0.3"/>
  <cols>
    <col min="1" max="1" width="25" customWidth="1"/>
    <col min="2" max="5" width="15" customWidth="1"/>
  </cols>
  <sheetData>
    <row r="1" spans="1:6" ht="21" x14ac:dyDescent="0.3">
      <c r="A1" s="66" t="s">
        <v>53</v>
      </c>
      <c r="B1" s="25"/>
      <c r="C1" s="25"/>
      <c r="D1" s="25"/>
      <c r="E1" s="25"/>
      <c r="F1" s="25"/>
    </row>
    <row r="3" spans="1:6" x14ac:dyDescent="0.3">
      <c r="A3" s="4" t="s">
        <v>35</v>
      </c>
      <c r="B3" s="5" t="s">
        <v>36</v>
      </c>
    </row>
    <row r="4" spans="1:6" ht="15.6" x14ac:dyDescent="0.3">
      <c r="A4" s="3">
        <f>'Mar-Apr'!B4</f>
        <v>1010000</v>
      </c>
      <c r="B4" s="6">
        <f>A4+B17</f>
        <v>1010000</v>
      </c>
    </row>
    <row r="6" spans="1:6" ht="17.399999999999999" x14ac:dyDescent="0.35">
      <c r="A6" s="65" t="s">
        <v>37</v>
      </c>
      <c r="B6" s="25"/>
      <c r="C6" s="25"/>
      <c r="D6" s="25"/>
      <c r="E6" s="25"/>
      <c r="F6" s="25"/>
    </row>
    <row r="7" spans="1:6" x14ac:dyDescent="0.3">
      <c r="A7" s="15" t="s">
        <v>38</v>
      </c>
      <c r="B7" s="15" t="s">
        <v>39</v>
      </c>
      <c r="C7" s="15" t="s">
        <v>40</v>
      </c>
      <c r="D7" s="15" t="s">
        <v>41</v>
      </c>
      <c r="E7" s="15" t="s">
        <v>42</v>
      </c>
    </row>
    <row r="8" spans="1:6" x14ac:dyDescent="0.3">
      <c r="A8" s="7" t="s">
        <v>43</v>
      </c>
      <c r="B8" s="8">
        <v>0</v>
      </c>
      <c r="C8" s="8">
        <v>0</v>
      </c>
      <c r="D8" s="9">
        <f t="shared" ref="D8:D13" si="0">B8-C8</f>
        <v>0</v>
      </c>
      <c r="E8" s="10">
        <f t="shared" ref="E8:E13" si="1">IF(B8=0,0,D8/B8)</f>
        <v>0</v>
      </c>
    </row>
    <row r="9" spans="1:6" x14ac:dyDescent="0.3">
      <c r="A9" s="7" t="s">
        <v>44</v>
      </c>
      <c r="B9" s="8">
        <v>0</v>
      </c>
      <c r="C9" s="8">
        <v>0</v>
      </c>
      <c r="D9" s="9">
        <f t="shared" si="0"/>
        <v>0</v>
      </c>
      <c r="E9" s="10">
        <f t="shared" si="1"/>
        <v>0</v>
      </c>
    </row>
    <row r="10" spans="1:6" x14ac:dyDescent="0.3">
      <c r="A10" s="7" t="s">
        <v>45</v>
      </c>
      <c r="B10" s="8">
        <v>0</v>
      </c>
      <c r="C10" s="8">
        <v>0</v>
      </c>
      <c r="D10" s="9">
        <f t="shared" si="0"/>
        <v>0</v>
      </c>
      <c r="E10" s="10">
        <f t="shared" si="1"/>
        <v>0</v>
      </c>
    </row>
    <row r="11" spans="1:6" x14ac:dyDescent="0.3">
      <c r="A11" s="7" t="s">
        <v>46</v>
      </c>
      <c r="B11" s="8">
        <v>0</v>
      </c>
      <c r="C11" s="8">
        <v>0</v>
      </c>
      <c r="D11" s="9">
        <f t="shared" si="0"/>
        <v>0</v>
      </c>
      <c r="E11" s="10">
        <f t="shared" si="1"/>
        <v>0</v>
      </c>
    </row>
    <row r="12" spans="1:6" x14ac:dyDescent="0.3">
      <c r="A12" s="7" t="s">
        <v>47</v>
      </c>
      <c r="B12" s="8">
        <v>0</v>
      </c>
      <c r="C12" s="8">
        <v>0</v>
      </c>
      <c r="D12" s="9">
        <f t="shared" si="0"/>
        <v>0</v>
      </c>
      <c r="E12" s="10">
        <f t="shared" si="1"/>
        <v>0</v>
      </c>
    </row>
    <row r="13" spans="1:6" x14ac:dyDescent="0.3">
      <c r="A13" s="11" t="s">
        <v>48</v>
      </c>
      <c r="B13" s="16">
        <f>SUM(B8:B12)</f>
        <v>0</v>
      </c>
      <c r="C13" s="16">
        <f>SUM(C8:C12)</f>
        <v>0</v>
      </c>
      <c r="D13" s="16">
        <f t="shared" si="0"/>
        <v>0</v>
      </c>
      <c r="E13" s="17">
        <f t="shared" si="1"/>
        <v>0</v>
      </c>
    </row>
    <row r="14" spans="1:6" ht="17.399999999999999" x14ac:dyDescent="0.35">
      <c r="A14" s="63" t="s">
        <v>49</v>
      </c>
      <c r="B14" s="64"/>
      <c r="C14" s="64"/>
      <c r="D14" s="64"/>
      <c r="E14" s="64"/>
      <c r="F14" s="25"/>
    </row>
    <row r="15" spans="1:6" x14ac:dyDescent="0.3">
      <c r="A15" s="7" t="s">
        <v>50</v>
      </c>
      <c r="B15" s="12"/>
      <c r="C15" s="18">
        <v>0</v>
      </c>
      <c r="D15" s="12"/>
      <c r="E15" s="12"/>
    </row>
    <row r="16" spans="1:6" x14ac:dyDescent="0.3">
      <c r="A16" s="12"/>
      <c r="B16" s="12"/>
      <c r="C16" s="12"/>
      <c r="D16" s="12"/>
      <c r="E16" s="12"/>
    </row>
    <row r="17" spans="1:5" ht="18" x14ac:dyDescent="0.35">
      <c r="A17" s="13" t="s">
        <v>51</v>
      </c>
      <c r="B17" s="19">
        <f>C15-C13</f>
        <v>0</v>
      </c>
      <c r="C17" s="12"/>
      <c r="D17" s="12"/>
      <c r="E17" s="12"/>
    </row>
  </sheetData>
  <sheetProtection algorithmName="SHA-512" hashValue="EYtMKaqYRrPZHGVUQux3U+gwvtzO0P5D3E84tOX5uNgFBmg7KmHd8qvb6+foqczERoQnVDBD5mRIQQaJh2cdGA==" saltValue="Nw4nywUvzqMZ2w8SjfijlQ==" spinCount="100000" sheet="1" objects="1" scenarios="1"/>
  <mergeCells count="3">
    <mergeCell ref="A14:F14"/>
    <mergeCell ref="A6:F6"/>
    <mergeCell ref="A1:F1"/>
  </mergeCells>
  <conditionalFormatting sqref="D8:D12">
    <cfRule type="cellIs" dxfId="7" priority="1" operator="greaterThan">
      <formula>0</formula>
    </cfRule>
    <cfRule type="cellIs" dxfId="6" priority="2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showGridLines="0" showRowColHeaders="0" workbookViewId="0">
      <selection activeCell="K24" sqref="K24"/>
    </sheetView>
  </sheetViews>
  <sheetFormatPr defaultRowHeight="14.4" x14ac:dyDescent="0.3"/>
  <cols>
    <col min="1" max="1" width="25" customWidth="1"/>
    <col min="2" max="5" width="15" customWidth="1"/>
  </cols>
  <sheetData>
    <row r="1" spans="1:6" ht="21" x14ac:dyDescent="0.3">
      <c r="A1" s="66" t="s">
        <v>54</v>
      </c>
      <c r="B1" s="25"/>
      <c r="C1" s="25"/>
      <c r="D1" s="25"/>
      <c r="E1" s="25"/>
      <c r="F1" s="25"/>
    </row>
    <row r="3" spans="1:6" x14ac:dyDescent="0.3">
      <c r="A3" s="4" t="s">
        <v>35</v>
      </c>
      <c r="B3" s="5" t="s">
        <v>36</v>
      </c>
    </row>
    <row r="4" spans="1:6" ht="15.6" x14ac:dyDescent="0.3">
      <c r="A4" s="3">
        <f>'May-Jun'!B4</f>
        <v>1010000</v>
      </c>
      <c r="B4" s="6">
        <f>A4+B17</f>
        <v>1010000</v>
      </c>
    </row>
    <row r="6" spans="1:6" ht="17.399999999999999" x14ac:dyDescent="0.35">
      <c r="A6" s="65" t="s">
        <v>37</v>
      </c>
      <c r="B6" s="25"/>
      <c r="C6" s="25"/>
      <c r="D6" s="25"/>
      <c r="E6" s="25"/>
      <c r="F6" s="25"/>
    </row>
    <row r="7" spans="1:6" x14ac:dyDescent="0.3">
      <c r="A7" s="15" t="s">
        <v>38</v>
      </c>
      <c r="B7" s="15" t="s">
        <v>39</v>
      </c>
      <c r="C7" s="15" t="s">
        <v>40</v>
      </c>
      <c r="D7" s="15" t="s">
        <v>41</v>
      </c>
      <c r="E7" s="15" t="s">
        <v>42</v>
      </c>
    </row>
    <row r="8" spans="1:6" x14ac:dyDescent="0.3">
      <c r="A8" s="7" t="s">
        <v>43</v>
      </c>
      <c r="B8" s="8">
        <v>0</v>
      </c>
      <c r="C8" s="8">
        <v>0</v>
      </c>
      <c r="D8" s="9">
        <f t="shared" ref="D8:D13" si="0">B8-C8</f>
        <v>0</v>
      </c>
      <c r="E8" s="10">
        <f t="shared" ref="E8:E13" si="1">IF(B8=0,0,D8/B8)</f>
        <v>0</v>
      </c>
    </row>
    <row r="9" spans="1:6" x14ac:dyDescent="0.3">
      <c r="A9" s="7" t="s">
        <v>44</v>
      </c>
      <c r="B9" s="8">
        <v>0</v>
      </c>
      <c r="C9" s="8">
        <v>0</v>
      </c>
      <c r="D9" s="9">
        <f t="shared" si="0"/>
        <v>0</v>
      </c>
      <c r="E9" s="10">
        <f t="shared" si="1"/>
        <v>0</v>
      </c>
    </row>
    <row r="10" spans="1:6" x14ac:dyDescent="0.3">
      <c r="A10" s="7" t="s">
        <v>45</v>
      </c>
      <c r="B10" s="8">
        <v>0</v>
      </c>
      <c r="C10" s="8">
        <v>0</v>
      </c>
      <c r="D10" s="9">
        <f t="shared" si="0"/>
        <v>0</v>
      </c>
      <c r="E10" s="10">
        <f t="shared" si="1"/>
        <v>0</v>
      </c>
    </row>
    <row r="11" spans="1:6" x14ac:dyDescent="0.3">
      <c r="A11" s="7" t="s">
        <v>46</v>
      </c>
      <c r="B11" s="8">
        <v>0</v>
      </c>
      <c r="C11" s="8">
        <v>0</v>
      </c>
      <c r="D11" s="9">
        <f t="shared" si="0"/>
        <v>0</v>
      </c>
      <c r="E11" s="10">
        <f t="shared" si="1"/>
        <v>0</v>
      </c>
    </row>
    <row r="12" spans="1:6" x14ac:dyDescent="0.3">
      <c r="A12" s="7" t="s">
        <v>47</v>
      </c>
      <c r="B12" s="8">
        <v>0</v>
      </c>
      <c r="C12" s="8">
        <v>0</v>
      </c>
      <c r="D12" s="9">
        <f t="shared" si="0"/>
        <v>0</v>
      </c>
      <c r="E12" s="10">
        <f t="shared" si="1"/>
        <v>0</v>
      </c>
    </row>
    <row r="13" spans="1:6" x14ac:dyDescent="0.3">
      <c r="A13" s="11" t="s">
        <v>48</v>
      </c>
      <c r="B13" s="16">
        <f>SUM(B8:B12)</f>
        <v>0</v>
      </c>
      <c r="C13" s="16">
        <f>SUM(C8:C12)</f>
        <v>0</v>
      </c>
      <c r="D13" s="16">
        <f t="shared" si="0"/>
        <v>0</v>
      </c>
      <c r="E13" s="17">
        <f t="shared" si="1"/>
        <v>0</v>
      </c>
    </row>
    <row r="14" spans="1:6" ht="17.399999999999999" x14ac:dyDescent="0.35">
      <c r="A14" s="63" t="s">
        <v>49</v>
      </c>
      <c r="B14" s="64"/>
      <c r="C14" s="64"/>
      <c r="D14" s="64"/>
      <c r="E14" s="64"/>
      <c r="F14" s="25"/>
    </row>
    <row r="15" spans="1:6" x14ac:dyDescent="0.3">
      <c r="A15" s="7" t="s">
        <v>50</v>
      </c>
      <c r="B15" s="12"/>
      <c r="C15" s="18">
        <v>0</v>
      </c>
      <c r="D15" s="12"/>
      <c r="E15" s="12"/>
    </row>
    <row r="16" spans="1:6" x14ac:dyDescent="0.3">
      <c r="A16" s="12"/>
      <c r="B16" s="12"/>
      <c r="C16" s="12"/>
      <c r="D16" s="12"/>
      <c r="E16" s="12"/>
    </row>
    <row r="17" spans="1:5" ht="18" x14ac:dyDescent="0.35">
      <c r="A17" s="13" t="s">
        <v>51</v>
      </c>
      <c r="B17" s="19">
        <f>C15-C13</f>
        <v>0</v>
      </c>
      <c r="C17" s="12"/>
      <c r="D17" s="12"/>
      <c r="E17" s="12"/>
    </row>
  </sheetData>
  <sheetProtection algorithmName="SHA-512" hashValue="WOuzlyP4uFlldyQTJEYhfbaa6iHp+TMxREd/P5zcNHOW0hqmcL2oVdV6I80EvkG2sQYSpBKw3sFMW9FzgLupoQ==" saltValue="OVMW0tOFRgrOJ4Jeqz6l8w==" spinCount="100000" sheet="1" objects="1" scenarios="1"/>
  <mergeCells count="3">
    <mergeCell ref="A14:F14"/>
    <mergeCell ref="A6:F6"/>
    <mergeCell ref="A1:F1"/>
  </mergeCells>
  <conditionalFormatting sqref="D8:D12">
    <cfRule type="cellIs" dxfId="5" priority="1" operator="greaterThan">
      <formula>0</formula>
    </cfRule>
    <cfRule type="cellIs" dxfId="4" priority="2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showGridLines="0" showRowColHeaders="0" workbookViewId="0">
      <selection activeCell="G23" sqref="G23"/>
    </sheetView>
  </sheetViews>
  <sheetFormatPr defaultRowHeight="14.4" x14ac:dyDescent="0.3"/>
  <cols>
    <col min="1" max="1" width="25" customWidth="1"/>
    <col min="2" max="5" width="15" customWidth="1"/>
  </cols>
  <sheetData>
    <row r="1" spans="1:6" ht="21" x14ac:dyDescent="0.3">
      <c r="A1" s="66" t="s">
        <v>55</v>
      </c>
      <c r="B1" s="25"/>
      <c r="C1" s="25"/>
      <c r="D1" s="25"/>
      <c r="E1" s="25"/>
      <c r="F1" s="25"/>
    </row>
    <row r="3" spans="1:6" x14ac:dyDescent="0.3">
      <c r="A3" s="4" t="s">
        <v>35</v>
      </c>
      <c r="B3" s="5" t="s">
        <v>36</v>
      </c>
    </row>
    <row r="4" spans="1:6" ht="15.6" x14ac:dyDescent="0.3">
      <c r="A4" s="3">
        <f>'Jul-Aug'!B4</f>
        <v>1010000</v>
      </c>
      <c r="B4" s="6">
        <f>A4+B17</f>
        <v>1010000</v>
      </c>
    </row>
    <row r="6" spans="1:6" ht="17.399999999999999" x14ac:dyDescent="0.35">
      <c r="A6" s="65" t="s">
        <v>37</v>
      </c>
      <c r="B6" s="25"/>
      <c r="C6" s="25"/>
      <c r="D6" s="25"/>
      <c r="E6" s="25"/>
      <c r="F6" s="25"/>
    </row>
    <row r="7" spans="1:6" x14ac:dyDescent="0.3">
      <c r="A7" s="15" t="s">
        <v>38</v>
      </c>
      <c r="B7" s="15" t="s">
        <v>39</v>
      </c>
      <c r="C7" s="15" t="s">
        <v>40</v>
      </c>
      <c r="D7" s="15" t="s">
        <v>41</v>
      </c>
      <c r="E7" s="15" t="s">
        <v>42</v>
      </c>
    </row>
    <row r="8" spans="1:6" x14ac:dyDescent="0.3">
      <c r="A8" s="7" t="s">
        <v>43</v>
      </c>
      <c r="B8" s="8">
        <v>0</v>
      </c>
      <c r="C8" s="8">
        <v>0</v>
      </c>
      <c r="D8" s="9">
        <f t="shared" ref="D8:D13" si="0">B8-C8</f>
        <v>0</v>
      </c>
      <c r="E8" s="10">
        <f t="shared" ref="E8:E13" si="1">IF(B8=0,0,D8/B8)</f>
        <v>0</v>
      </c>
    </row>
    <row r="9" spans="1:6" x14ac:dyDescent="0.3">
      <c r="A9" s="7" t="s">
        <v>44</v>
      </c>
      <c r="B9" s="8">
        <v>0</v>
      </c>
      <c r="C9" s="8">
        <v>0</v>
      </c>
      <c r="D9" s="9">
        <f t="shared" si="0"/>
        <v>0</v>
      </c>
      <c r="E9" s="10">
        <f t="shared" si="1"/>
        <v>0</v>
      </c>
    </row>
    <row r="10" spans="1:6" x14ac:dyDescent="0.3">
      <c r="A10" s="7" t="s">
        <v>45</v>
      </c>
      <c r="B10" s="8">
        <v>0</v>
      </c>
      <c r="C10" s="8">
        <v>0</v>
      </c>
      <c r="D10" s="9">
        <f t="shared" si="0"/>
        <v>0</v>
      </c>
      <c r="E10" s="10">
        <f t="shared" si="1"/>
        <v>0</v>
      </c>
    </row>
    <row r="11" spans="1:6" x14ac:dyDescent="0.3">
      <c r="A11" s="7" t="s">
        <v>46</v>
      </c>
      <c r="B11" s="8">
        <v>0</v>
      </c>
      <c r="C11" s="8">
        <v>0</v>
      </c>
      <c r="D11" s="9">
        <f t="shared" si="0"/>
        <v>0</v>
      </c>
      <c r="E11" s="10">
        <f t="shared" si="1"/>
        <v>0</v>
      </c>
    </row>
    <row r="12" spans="1:6" x14ac:dyDescent="0.3">
      <c r="A12" s="7" t="s">
        <v>47</v>
      </c>
      <c r="B12" s="8">
        <v>0</v>
      </c>
      <c r="C12" s="8">
        <v>0</v>
      </c>
      <c r="D12" s="9">
        <f t="shared" si="0"/>
        <v>0</v>
      </c>
      <c r="E12" s="10">
        <f t="shared" si="1"/>
        <v>0</v>
      </c>
    </row>
    <row r="13" spans="1:6" x14ac:dyDescent="0.3">
      <c r="A13" s="11" t="s">
        <v>48</v>
      </c>
      <c r="B13" s="16">
        <f>SUM(B8:B12)</f>
        <v>0</v>
      </c>
      <c r="C13" s="16">
        <f>SUM(C8:C12)</f>
        <v>0</v>
      </c>
      <c r="D13" s="16">
        <f t="shared" si="0"/>
        <v>0</v>
      </c>
      <c r="E13" s="17">
        <f t="shared" si="1"/>
        <v>0</v>
      </c>
    </row>
    <row r="14" spans="1:6" ht="17.399999999999999" x14ac:dyDescent="0.35">
      <c r="A14" s="63" t="s">
        <v>49</v>
      </c>
      <c r="B14" s="64"/>
      <c r="C14" s="64"/>
      <c r="D14" s="64"/>
      <c r="E14" s="64"/>
      <c r="F14" s="25"/>
    </row>
    <row r="15" spans="1:6" x14ac:dyDescent="0.3">
      <c r="A15" s="7" t="s">
        <v>50</v>
      </c>
      <c r="B15" s="12"/>
      <c r="C15" s="18">
        <v>0</v>
      </c>
      <c r="D15" s="12"/>
      <c r="E15" s="12"/>
    </row>
    <row r="16" spans="1:6" x14ac:dyDescent="0.3">
      <c r="A16" s="12"/>
      <c r="B16" s="12"/>
      <c r="C16" s="12"/>
      <c r="D16" s="12"/>
      <c r="E16" s="12"/>
    </row>
    <row r="17" spans="1:5" ht="18" x14ac:dyDescent="0.35">
      <c r="A17" s="13" t="s">
        <v>51</v>
      </c>
      <c r="B17" s="19">
        <f>C15-C13</f>
        <v>0</v>
      </c>
      <c r="C17" s="12"/>
      <c r="D17" s="12"/>
      <c r="E17" s="12"/>
    </row>
  </sheetData>
  <sheetProtection algorithmName="SHA-512" hashValue="hOsmpTWWFeUQUsh4adMuZ+S45ww96kTcnMED/OiyyVw/OG43/9KrDE7IN0CypAKFGLGd/RVCwSa+Hea/yMwLKw==" saltValue="3ZfRFMcuFqxhayKP7YGL6Q==" spinCount="100000" sheet="1" objects="1" scenarios="1"/>
  <mergeCells count="3">
    <mergeCell ref="A14:F14"/>
    <mergeCell ref="A6:F6"/>
    <mergeCell ref="A1:F1"/>
  </mergeCells>
  <conditionalFormatting sqref="D8:D12">
    <cfRule type="cellIs" dxfId="3" priority="1" operator="greaterThan">
      <formula>0</formula>
    </cfRule>
    <cfRule type="cellIs" dxfId="2" priority="2" operator="lessThan">
      <formula>0</formula>
    </cfRule>
  </conditionalFormatting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showGridLines="0" showRowColHeaders="0" tabSelected="1" workbookViewId="0">
      <selection activeCell="F18" sqref="F18"/>
    </sheetView>
  </sheetViews>
  <sheetFormatPr defaultRowHeight="14.4" x14ac:dyDescent="0.3"/>
  <cols>
    <col min="1" max="1" width="25" customWidth="1"/>
    <col min="2" max="5" width="15" customWidth="1"/>
  </cols>
  <sheetData>
    <row r="1" spans="1:6" ht="21" x14ac:dyDescent="0.3">
      <c r="A1" s="66" t="s">
        <v>56</v>
      </c>
      <c r="B1" s="25"/>
      <c r="C1" s="25"/>
      <c r="D1" s="25"/>
      <c r="E1" s="25"/>
      <c r="F1" s="25"/>
    </row>
    <row r="3" spans="1:6" x14ac:dyDescent="0.3">
      <c r="A3" s="4" t="s">
        <v>35</v>
      </c>
      <c r="B3" s="5" t="s">
        <v>36</v>
      </c>
    </row>
    <row r="4" spans="1:6" ht="15.6" x14ac:dyDescent="0.3">
      <c r="A4" s="3">
        <f>'Sep-Oct'!B4</f>
        <v>1010000</v>
      </c>
      <c r="B4" s="6">
        <f>A4+B17</f>
        <v>1010000</v>
      </c>
    </row>
    <row r="6" spans="1:6" ht="17.399999999999999" x14ac:dyDescent="0.35">
      <c r="A6" s="65" t="s">
        <v>37</v>
      </c>
      <c r="B6" s="25"/>
      <c r="C6" s="25"/>
      <c r="D6" s="25"/>
      <c r="E6" s="25"/>
      <c r="F6" s="25"/>
    </row>
    <row r="7" spans="1:6" x14ac:dyDescent="0.3">
      <c r="A7" s="15" t="s">
        <v>38</v>
      </c>
      <c r="B7" s="15" t="s">
        <v>39</v>
      </c>
      <c r="C7" s="15" t="s">
        <v>40</v>
      </c>
      <c r="D7" s="15" t="s">
        <v>41</v>
      </c>
      <c r="E7" s="15" t="s">
        <v>42</v>
      </c>
    </row>
    <row r="8" spans="1:6" x14ac:dyDescent="0.3">
      <c r="A8" s="7" t="s">
        <v>43</v>
      </c>
      <c r="B8" s="8">
        <v>0</v>
      </c>
      <c r="C8" s="8">
        <v>0</v>
      </c>
      <c r="D8" s="9">
        <f t="shared" ref="D8:D13" si="0">B8-C8</f>
        <v>0</v>
      </c>
      <c r="E8" s="10">
        <f t="shared" ref="E8:E13" si="1">IF(B8=0,0,D8/B8)</f>
        <v>0</v>
      </c>
    </row>
    <row r="9" spans="1:6" x14ac:dyDescent="0.3">
      <c r="A9" s="7" t="s">
        <v>44</v>
      </c>
      <c r="B9" s="8">
        <v>0</v>
      </c>
      <c r="C9" s="8">
        <v>0</v>
      </c>
      <c r="D9" s="9">
        <f t="shared" si="0"/>
        <v>0</v>
      </c>
      <c r="E9" s="10">
        <f t="shared" si="1"/>
        <v>0</v>
      </c>
    </row>
    <row r="10" spans="1:6" x14ac:dyDescent="0.3">
      <c r="A10" s="7" t="s">
        <v>45</v>
      </c>
      <c r="B10" s="8">
        <v>0</v>
      </c>
      <c r="C10" s="8">
        <v>0</v>
      </c>
      <c r="D10" s="9">
        <f t="shared" si="0"/>
        <v>0</v>
      </c>
      <c r="E10" s="10">
        <f t="shared" si="1"/>
        <v>0</v>
      </c>
    </row>
    <row r="11" spans="1:6" x14ac:dyDescent="0.3">
      <c r="A11" s="7" t="s">
        <v>46</v>
      </c>
      <c r="B11" s="8">
        <v>0</v>
      </c>
      <c r="C11" s="8">
        <v>0</v>
      </c>
      <c r="D11" s="9">
        <f t="shared" si="0"/>
        <v>0</v>
      </c>
      <c r="E11" s="10">
        <f t="shared" si="1"/>
        <v>0</v>
      </c>
    </row>
    <row r="12" spans="1:6" x14ac:dyDescent="0.3">
      <c r="A12" s="7" t="s">
        <v>47</v>
      </c>
      <c r="B12" s="8">
        <v>0</v>
      </c>
      <c r="C12" s="8">
        <v>0</v>
      </c>
      <c r="D12" s="9">
        <f t="shared" si="0"/>
        <v>0</v>
      </c>
      <c r="E12" s="10">
        <f t="shared" si="1"/>
        <v>0</v>
      </c>
    </row>
    <row r="13" spans="1:6" x14ac:dyDescent="0.3">
      <c r="A13" s="11" t="s">
        <v>48</v>
      </c>
      <c r="B13" s="16">
        <f>SUM(B8:B12)</f>
        <v>0</v>
      </c>
      <c r="C13" s="16">
        <f>SUM(C8:C12)</f>
        <v>0</v>
      </c>
      <c r="D13" s="16">
        <f t="shared" si="0"/>
        <v>0</v>
      </c>
      <c r="E13" s="17">
        <f t="shared" si="1"/>
        <v>0</v>
      </c>
    </row>
    <row r="14" spans="1:6" ht="17.399999999999999" x14ac:dyDescent="0.35">
      <c r="A14" s="63" t="s">
        <v>49</v>
      </c>
      <c r="B14" s="64"/>
      <c r="C14" s="64"/>
      <c r="D14" s="64"/>
      <c r="E14" s="64"/>
      <c r="F14" s="25"/>
    </row>
    <row r="15" spans="1:6" x14ac:dyDescent="0.3">
      <c r="A15" s="7" t="s">
        <v>50</v>
      </c>
      <c r="B15" s="12"/>
      <c r="C15" s="18">
        <v>0</v>
      </c>
      <c r="D15" s="12"/>
      <c r="E15" s="12"/>
    </row>
    <row r="16" spans="1:6" x14ac:dyDescent="0.3">
      <c r="A16" s="12"/>
      <c r="B16" s="12"/>
      <c r="C16" s="12"/>
      <c r="D16" s="12"/>
      <c r="E16" s="12"/>
    </row>
    <row r="17" spans="1:5" ht="18" x14ac:dyDescent="0.35">
      <c r="A17" s="13" t="s">
        <v>51</v>
      </c>
      <c r="B17" s="19">
        <f>C15-C13</f>
        <v>0</v>
      </c>
      <c r="C17" s="12"/>
      <c r="D17" s="12"/>
      <c r="E17" s="12"/>
    </row>
  </sheetData>
  <sheetProtection algorithmName="SHA-512" hashValue="x7VwC9ezQzaGGxfB7YHPYmALiIWwri0ueoGJ9upY8InVFINtCHqlbUnXDl8Z1gpUtyWvKl6/JHOtDd10BtmnHg==" saltValue="CyVfhKxohJ6NxGEAUt8xMw==" spinCount="100000" sheet="1" objects="1" scenarios="1"/>
  <mergeCells count="3">
    <mergeCell ref="A14:F14"/>
    <mergeCell ref="A6:F6"/>
    <mergeCell ref="A1:F1"/>
  </mergeCells>
  <conditionalFormatting sqref="D8:D12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Dashboard</vt:lpstr>
      <vt:lpstr>Annual Summary</vt:lpstr>
      <vt:lpstr>Jan-Feb</vt:lpstr>
      <vt:lpstr>Mar-Apr</vt:lpstr>
      <vt:lpstr>May-Jun</vt:lpstr>
      <vt:lpstr>Jul-Aug</vt:lpstr>
      <vt:lpstr>Sep-Oct</vt:lpstr>
      <vt:lpstr>Nov-Dec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2026-01-05T13:33:20Z</cp:lastPrinted>
  <dcterms:created xsi:type="dcterms:W3CDTF">2026-01-05T09:29:42Z</dcterms:created>
  <dcterms:modified xsi:type="dcterms:W3CDTF">2026-01-08T23:09:49Z</dcterms:modified>
</cp:coreProperties>
</file>