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xl_dash\"/>
    </mc:Choice>
  </mc:AlternateContent>
  <xr:revisionPtr revIDLastSave="0" documentId="13_ncr:1_{3981C953-608C-49C4-9494-67AB474FF76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vestor Dashboard" sheetId="1" r:id="rId1"/>
    <sheet name="Investor Records" sheetId="2" r:id="rId2"/>
    <sheet name="Payment Tra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" l="1" a="1"/>
  <c r="D6" i="3" s="1"/>
  <c r="D7" i="3" a="1"/>
  <c r="D7" i="3" s="1"/>
  <c r="B24" i="1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33" i="3" a="1"/>
  <c r="D33" i="3" s="1"/>
  <c r="D34" i="3" a="1"/>
  <c r="D34" i="3" s="1"/>
  <c r="D35" i="3" a="1"/>
  <c r="D35" i="3" s="1"/>
  <c r="D36" i="3" a="1"/>
  <c r="D36" i="3" s="1"/>
  <c r="D37" i="3" a="1"/>
  <c r="D37" i="3"/>
  <c r="D38" i="3" a="1"/>
  <c r="D38" i="3" s="1"/>
  <c r="D39" i="3" a="1"/>
  <c r="D39" i="3" s="1"/>
  <c r="D40" i="3" a="1"/>
  <c r="D40" i="3" s="1"/>
  <c r="D41" i="3" a="1"/>
  <c r="D41" i="3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66" i="3" a="1"/>
  <c r="D66" i="3" s="1"/>
  <c r="D67" i="3" a="1"/>
  <c r="D67" i="3" s="1"/>
  <c r="D68" i="3" a="1"/>
  <c r="D68" i="3" s="1"/>
  <c r="D69" i="3" a="1"/>
  <c r="D69" i="3"/>
  <c r="D70" i="3" a="1"/>
  <c r="D70" i="3" s="1"/>
  <c r="D71" i="3" a="1"/>
  <c r="D71" i="3" s="1"/>
  <c r="D72" i="3" a="1"/>
  <c r="D72" i="3" s="1"/>
  <c r="D73" i="3" a="1"/>
  <c r="D73" i="3" s="1"/>
  <c r="D74" i="3" a="1"/>
  <c r="D74" i="3" s="1"/>
  <c r="D75" i="3" a="1"/>
  <c r="D75" i="3" s="1"/>
  <c r="D76" i="3" a="1"/>
  <c r="D76" i="3" s="1"/>
  <c r="D77" i="3" a="1"/>
  <c r="D77" i="3" s="1"/>
  <c r="D78" i="3" a="1"/>
  <c r="D78" i="3" s="1"/>
  <c r="D79" i="3" a="1"/>
  <c r="D79" i="3" s="1"/>
  <c r="D80" i="3" a="1"/>
  <c r="D80" i="3" s="1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 s="1"/>
  <c r="D89" i="3" a="1"/>
  <c r="D89" i="3" s="1"/>
  <c r="D90" i="3" a="1"/>
  <c r="D90" i="3" s="1"/>
  <c r="D91" i="3" a="1"/>
  <c r="D91" i="3" s="1"/>
  <c r="D92" i="3" a="1"/>
  <c r="D92" i="3" s="1"/>
  <c r="D93" i="3" a="1"/>
  <c r="D93" i="3"/>
  <c r="D94" i="3" a="1"/>
  <c r="D94" i="3" s="1"/>
  <c r="D95" i="3" a="1"/>
  <c r="D95" i="3" s="1"/>
  <c r="D96" i="3" a="1"/>
  <c r="D96" i="3" s="1"/>
  <c r="D97" i="3" a="1"/>
  <c r="D97" i="3" s="1"/>
  <c r="D98" i="3" a="1"/>
  <c r="D98" i="3" s="1"/>
  <c r="D99" i="3" a="1"/>
  <c r="D99" i="3" s="1"/>
  <c r="D100" i="3" a="1"/>
  <c r="D100" i="3" s="1"/>
  <c r="D101" i="3" a="1"/>
  <c r="D101" i="3"/>
  <c r="D102" i="3" a="1"/>
  <c r="D102" i="3" s="1"/>
  <c r="D103" i="3" a="1"/>
  <c r="D103" i="3" s="1"/>
  <c r="D104" i="3" a="1"/>
  <c r="D104" i="3" s="1"/>
  <c r="D105" i="3" a="1"/>
  <c r="D105" i="3" s="1"/>
  <c r="D106" i="3" a="1"/>
  <c r="D106" i="3" s="1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 s="1"/>
  <c r="D113" i="3" a="1"/>
  <c r="D113" i="3" s="1"/>
  <c r="D114" i="3" a="1"/>
  <c r="D114" i="3" s="1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4" i="3" a="1"/>
  <c r="D124" i="3" s="1"/>
  <c r="D125" i="3" a="1"/>
  <c r="D125" i="3"/>
  <c r="D126" i="3" a="1"/>
  <c r="D126" i="3" s="1"/>
  <c r="D127" i="3" a="1"/>
  <c r="D127" i="3" s="1"/>
  <c r="D128" i="3" a="1"/>
  <c r="D128" i="3" s="1"/>
  <c r="D129" i="3" a="1"/>
  <c r="D129" i="3" s="1"/>
  <c r="D130" i="3" a="1"/>
  <c r="D130" i="3" s="1"/>
  <c r="D131" i="3" a="1"/>
  <c r="D131" i="3" s="1"/>
  <c r="D132" i="3" a="1"/>
  <c r="D132" i="3" s="1"/>
  <c r="D133" i="3" a="1"/>
  <c r="D133" i="3" s="1"/>
  <c r="D134" i="3" a="1"/>
  <c r="D134" i="3" s="1"/>
  <c r="D135" i="3" a="1"/>
  <c r="D135" i="3"/>
  <c r="D136" i="3" a="1"/>
  <c r="D136" i="3" s="1"/>
  <c r="D137" i="3" a="1"/>
  <c r="D137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 s="1"/>
  <c r="D146" i="3" a="1"/>
  <c r="D146" i="3" s="1"/>
  <c r="D147" i="3" a="1"/>
  <c r="D147" i="3" s="1"/>
  <c r="D148" i="3" a="1"/>
  <c r="D148" i="3" s="1"/>
  <c r="D149" i="3" a="1"/>
  <c r="D149" i="3"/>
  <c r="D150" i="3" a="1"/>
  <c r="D150" i="3" s="1"/>
  <c r="D151" i="3" a="1"/>
  <c r="D151" i="3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 s="1"/>
  <c r="D162" i="3" a="1"/>
  <c r="D162" i="3" s="1"/>
  <c r="D163" i="3" a="1"/>
  <c r="D163" i="3" s="1"/>
  <c r="D164" i="3" a="1"/>
  <c r="D164" i="3" s="1"/>
  <c r="D165" i="3" a="1"/>
  <c r="D165" i="3"/>
  <c r="D166" i="3" a="1"/>
  <c r="D166" i="3" s="1"/>
  <c r="D167" i="3" a="1"/>
  <c r="D167" i="3"/>
  <c r="D168" i="3" a="1"/>
  <c r="D168" i="3" s="1"/>
  <c r="D169" i="3" a="1"/>
  <c r="D169" i="3" s="1"/>
  <c r="D170" i="3" a="1"/>
  <c r="D170" i="3" s="1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 s="1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 s="1"/>
  <c r="D197" i="3" a="1"/>
  <c r="D197" i="3" s="1"/>
  <c r="D198" i="3" a="1"/>
  <c r="D198" i="3" s="1"/>
  <c r="D199" i="3" a="1"/>
  <c r="D199" i="3" s="1"/>
  <c r="D200" i="3" a="1"/>
  <c r="D200" i="3" s="1"/>
  <c r="D201" i="3" a="1"/>
  <c r="D201" i="3" s="1"/>
  <c r="D202" i="3" a="1"/>
  <c r="D202" i="3" s="1"/>
  <c r="D203" i="3" a="1"/>
  <c r="D203" i="3" s="1"/>
  <c r="D204" i="3" a="1"/>
  <c r="D204" i="3" s="1"/>
  <c r="D205" i="3" a="1"/>
  <c r="D205" i="3" s="1"/>
  <c r="D206" i="3" a="1"/>
  <c r="D206" i="3" s="1"/>
  <c r="D207" i="3" a="1"/>
  <c r="D207" i="3" s="1"/>
  <c r="D208" i="3" a="1"/>
  <c r="D208" i="3" s="1"/>
  <c r="D209" i="3" a="1"/>
  <c r="D209" i="3" s="1"/>
  <c r="D210" i="3" a="1"/>
  <c r="D210" i="3" s="1"/>
  <c r="D211" i="3" a="1"/>
  <c r="D211" i="3" s="1"/>
  <c r="D212" i="3" a="1"/>
  <c r="D212" i="3" s="1"/>
  <c r="D213" i="3" a="1"/>
  <c r="D213" i="3" s="1"/>
  <c r="D214" i="3" a="1"/>
  <c r="D214" i="3" s="1"/>
  <c r="D215" i="3" a="1"/>
  <c r="D215" i="3" s="1"/>
  <c r="D216" i="3" a="1"/>
  <c r="D216" i="3" s="1"/>
  <c r="D217" i="3" a="1"/>
  <c r="D217" i="3" s="1"/>
  <c r="D218" i="3" a="1"/>
  <c r="D218" i="3" s="1"/>
  <c r="D219" i="3" a="1"/>
  <c r="D219" i="3" s="1"/>
  <c r="D220" i="3" a="1"/>
  <c r="D220" i="3" s="1"/>
  <c r="D221" i="3" a="1"/>
  <c r="D221" i="3" s="1"/>
  <c r="D222" i="3" a="1"/>
  <c r="D222" i="3" s="1"/>
  <c r="D223" i="3" a="1"/>
  <c r="D223" i="3" s="1"/>
  <c r="D224" i="3" a="1"/>
  <c r="D224" i="3" s="1"/>
  <c r="D225" i="3" a="1"/>
  <c r="D225" i="3" s="1"/>
  <c r="D226" i="3" a="1"/>
  <c r="D226" i="3" s="1"/>
  <c r="D227" i="3" a="1"/>
  <c r="D227" i="3" s="1"/>
  <c r="D228" i="3" a="1"/>
  <c r="D228" i="3" s="1"/>
  <c r="D229" i="3" a="1"/>
  <c r="D229" i="3" s="1"/>
  <c r="D230" i="3" a="1"/>
  <c r="D230" i="3" s="1"/>
  <c r="D231" i="3" a="1"/>
  <c r="D231" i="3" s="1"/>
  <c r="D232" i="3" a="1"/>
  <c r="D232" i="3" s="1"/>
  <c r="D233" i="3" a="1"/>
  <c r="D233" i="3" s="1"/>
  <c r="D234" i="3" a="1"/>
  <c r="D234" i="3" s="1"/>
  <c r="D235" i="3" a="1"/>
  <c r="D235" i="3" s="1"/>
  <c r="D236" i="3" a="1"/>
  <c r="D236" i="3" s="1"/>
  <c r="D237" i="3" a="1"/>
  <c r="D237" i="3" s="1"/>
  <c r="D238" i="3" a="1"/>
  <c r="D238" i="3" s="1"/>
  <c r="D239" i="3" a="1"/>
  <c r="D239" i="3" s="1"/>
  <c r="D240" i="3" a="1"/>
  <c r="D240" i="3" s="1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 s="1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 s="1"/>
  <c r="D254" i="3" a="1"/>
  <c r="D254" i="3" s="1"/>
  <c r="D255" i="3" a="1"/>
  <c r="D255" i="3" s="1"/>
  <c r="D256" i="3" a="1"/>
  <c r="D256" i="3" s="1"/>
  <c r="D257" i="3" a="1"/>
  <c r="D257" i="3" s="1"/>
  <c r="D258" i="3" a="1"/>
  <c r="D258" i="3" s="1"/>
  <c r="D259" i="3" a="1"/>
  <c r="D259" i="3" s="1"/>
  <c r="D260" i="3" a="1"/>
  <c r="D260" i="3" s="1"/>
  <c r="D261" i="3" a="1"/>
  <c r="D261" i="3" s="1"/>
  <c r="D262" i="3" a="1"/>
  <c r="D262" i="3" s="1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 s="1"/>
  <c r="D270" i="3" a="1"/>
  <c r="D270" i="3" s="1"/>
  <c r="D271" i="3" a="1"/>
  <c r="D271" i="3" s="1"/>
  <c r="D272" i="3" a="1"/>
  <c r="D272" i="3" s="1"/>
  <c r="D273" i="3" a="1"/>
  <c r="D273" i="3" s="1"/>
  <c r="D274" i="3" a="1"/>
  <c r="D274" i="3" s="1"/>
  <c r="D275" i="3" a="1"/>
  <c r="D275" i="3" s="1"/>
  <c r="D276" i="3" a="1"/>
  <c r="D276" i="3" s="1"/>
  <c r="D277" i="3" a="1"/>
  <c r="D277" i="3" s="1"/>
  <c r="D278" i="3" a="1"/>
  <c r="D278" i="3" s="1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 s="1"/>
  <c r="D290" i="3" a="1"/>
  <c r="D290" i="3" s="1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301" i="3" a="1"/>
  <c r="D301" i="3" s="1"/>
  <c r="D302" i="3" a="1"/>
  <c r="D302" i="3" s="1"/>
  <c r="D303" i="3" a="1"/>
  <c r="D303" i="3" s="1"/>
  <c r="D304" i="3" a="1"/>
  <c r="D304" i="3" s="1"/>
  <c r="D305" i="3" a="1"/>
  <c r="D305" i="3" s="1"/>
  <c r="D306" i="3" a="1"/>
  <c r="D306" i="3" s="1"/>
  <c r="D307" i="3" a="1"/>
  <c r="D307" i="3" s="1"/>
  <c r="D308" i="3" a="1"/>
  <c r="D308" i="3" s="1"/>
  <c r="D309" i="3" a="1"/>
  <c r="D309" i="3" s="1"/>
  <c r="D310" i="3" a="1"/>
  <c r="D310" i="3"/>
  <c r="D311" i="3" a="1"/>
  <c r="D311" i="3" s="1"/>
  <c r="D312" i="3" a="1"/>
  <c r="D312" i="3"/>
  <c r="D313" i="3" a="1"/>
  <c r="D313" i="3" s="1"/>
  <c r="D314" i="3" a="1"/>
  <c r="D314" i="3" s="1"/>
  <c r="D315" i="3" a="1"/>
  <c r="D315" i="3" s="1"/>
  <c r="D316" i="3" a="1"/>
  <c r="D316" i="3" s="1"/>
  <c r="D317" i="3" a="1"/>
  <c r="D317" i="3" s="1"/>
  <c r="D318" i="3" a="1"/>
  <c r="D318" i="3" s="1"/>
  <c r="D319" i="3" a="1"/>
  <c r="D319" i="3" s="1"/>
  <c r="D320" i="3" a="1"/>
  <c r="D320" i="3"/>
  <c r="D321" i="3" a="1"/>
  <c r="D321" i="3" s="1"/>
  <c r="D322" i="3" a="1"/>
  <c r="D322" i="3" s="1"/>
  <c r="D323" i="3" a="1"/>
  <c r="D323" i="3" s="1"/>
  <c r="D324" i="3" a="1"/>
  <c r="D324" i="3" s="1"/>
  <c r="D325" i="3" a="1"/>
  <c r="D325" i="3" s="1"/>
  <c r="D326" i="3" a="1"/>
  <c r="D326" i="3" s="1"/>
  <c r="D327" i="3" a="1"/>
  <c r="D327" i="3" s="1"/>
  <c r="D328" i="3" a="1"/>
  <c r="D328" i="3" s="1"/>
  <c r="D329" i="3" a="1"/>
  <c r="D329" i="3" s="1"/>
  <c r="D330" i="3" a="1"/>
  <c r="D330" i="3" s="1"/>
  <c r="D331" i="3" a="1"/>
  <c r="D331" i="3" s="1"/>
  <c r="D332" i="3" a="1"/>
  <c r="D332" i="3" s="1"/>
  <c r="D333" i="3" a="1"/>
  <c r="D333" i="3" s="1"/>
  <c r="D334" i="3" a="1"/>
  <c r="D334" i="3" s="1"/>
  <c r="D335" i="3" a="1"/>
  <c r="D335" i="3" s="1"/>
  <c r="D336" i="3" a="1"/>
  <c r="D336" i="3" s="1"/>
  <c r="D337" i="3" a="1"/>
  <c r="D337" i="3" s="1"/>
  <c r="D338" i="3" a="1"/>
  <c r="D338" i="3" s="1"/>
  <c r="D339" i="3" a="1"/>
  <c r="D339" i="3" s="1"/>
  <c r="D340" i="3" a="1"/>
  <c r="D340" i="3" s="1"/>
  <c r="D341" i="3" a="1"/>
  <c r="D341" i="3" s="1"/>
  <c r="D342" i="3" a="1"/>
  <c r="D342" i="3" s="1"/>
  <c r="D343" i="3" a="1"/>
  <c r="D343" i="3" s="1"/>
  <c r="D344" i="3" a="1"/>
  <c r="D344" i="3"/>
  <c r="D345" i="3" a="1"/>
  <c r="D345" i="3" s="1"/>
  <c r="D346" i="3" a="1"/>
  <c r="D346" i="3" s="1"/>
  <c r="D347" i="3" a="1"/>
  <c r="D347" i="3" s="1"/>
  <c r="D348" i="3" a="1"/>
  <c r="D348" i="3" s="1"/>
  <c r="D349" i="3" a="1"/>
  <c r="D349" i="3" s="1"/>
  <c r="D350" i="3" a="1"/>
  <c r="D350" i="3" s="1"/>
  <c r="D351" i="3" a="1"/>
  <c r="D351" i="3" s="1"/>
  <c r="D352" i="3" a="1"/>
  <c r="D352" i="3"/>
  <c r="D353" i="3" a="1"/>
  <c r="D353" i="3" s="1"/>
  <c r="D354" i="3" a="1"/>
  <c r="D354" i="3" s="1"/>
  <c r="D355" i="3" a="1"/>
  <c r="D355" i="3" s="1"/>
  <c r="D356" i="3" a="1"/>
  <c r="D356" i="3" s="1"/>
  <c r="D357" i="3" a="1"/>
  <c r="D357" i="3" s="1"/>
  <c r="D358" i="3" a="1"/>
  <c r="D358" i="3" s="1"/>
  <c r="D359" i="3" a="1"/>
  <c r="D359" i="3" s="1"/>
  <c r="D360" i="3" a="1"/>
  <c r="D360" i="3"/>
  <c r="D361" i="3" a="1"/>
  <c r="D361" i="3" s="1"/>
  <c r="D362" i="3" a="1"/>
  <c r="D362" i="3" s="1"/>
  <c r="D363" i="3" a="1"/>
  <c r="D363" i="3" s="1"/>
  <c r="D364" i="3" a="1"/>
  <c r="D364" i="3" s="1"/>
  <c r="D365" i="3" a="1"/>
  <c r="D365" i="3" s="1"/>
  <c r="D366" i="3" a="1"/>
  <c r="D366" i="3" s="1"/>
  <c r="D367" i="3" a="1"/>
  <c r="D367" i="3" s="1"/>
  <c r="D368" i="3" a="1"/>
  <c r="D368" i="3" s="1"/>
  <c r="D369" i="3" a="1"/>
  <c r="D369" i="3" s="1"/>
  <c r="D370" i="3" a="1"/>
  <c r="D370" i="3" s="1"/>
  <c r="D371" i="3" a="1"/>
  <c r="D371" i="3" s="1"/>
  <c r="D372" i="3" a="1"/>
  <c r="D372" i="3" s="1"/>
  <c r="D373" i="3" a="1"/>
  <c r="D373" i="3" s="1"/>
  <c r="D374" i="3" a="1"/>
  <c r="D374" i="3" s="1"/>
  <c r="D375" i="3" a="1"/>
  <c r="D375" i="3" s="1"/>
  <c r="D376" i="3" a="1"/>
  <c r="D376" i="3" s="1"/>
  <c r="D377" i="3" a="1"/>
  <c r="D377" i="3" s="1"/>
  <c r="D378" i="3" a="1"/>
  <c r="D378" i="3" s="1"/>
  <c r="D379" i="3" a="1"/>
  <c r="D379" i="3" s="1"/>
  <c r="D380" i="3" a="1"/>
  <c r="D380" i="3" s="1"/>
  <c r="D381" i="3" a="1"/>
  <c r="D381" i="3" s="1"/>
  <c r="D382" i="3" a="1"/>
  <c r="D382" i="3" s="1"/>
  <c r="D383" i="3" a="1"/>
  <c r="D383" i="3" s="1"/>
  <c r="D384" i="3" a="1"/>
  <c r="D384" i="3"/>
  <c r="D385" i="3" a="1"/>
  <c r="D385" i="3" s="1"/>
  <c r="D386" i="3" a="1"/>
  <c r="D386" i="3" s="1"/>
  <c r="D387" i="3" a="1"/>
  <c r="D387" i="3" s="1"/>
  <c r="D388" i="3" a="1"/>
  <c r="D388" i="3" s="1"/>
  <c r="D389" i="3" a="1"/>
  <c r="D389" i="3" s="1"/>
  <c r="D390" i="3" a="1"/>
  <c r="D390" i="3" s="1"/>
  <c r="D391" i="3" a="1"/>
  <c r="D391" i="3" s="1"/>
  <c r="D392" i="3" a="1"/>
  <c r="D392" i="3"/>
  <c r="D393" i="3" a="1"/>
  <c r="D393" i="3" s="1"/>
  <c r="D394" i="3" a="1"/>
  <c r="D394" i="3" s="1"/>
  <c r="D395" i="3" a="1"/>
  <c r="D395" i="3" s="1"/>
  <c r="D396" i="3" a="1"/>
  <c r="D396" i="3" s="1"/>
  <c r="D397" i="3" a="1"/>
  <c r="D397" i="3" s="1"/>
  <c r="D398" i="3" a="1"/>
  <c r="D398" i="3" s="1"/>
  <c r="D399" i="3" a="1"/>
  <c r="D399" i="3" s="1"/>
  <c r="D400" i="3" a="1"/>
  <c r="D400" i="3" s="1"/>
  <c r="D401" i="3" a="1"/>
  <c r="D401" i="3" s="1"/>
  <c r="D402" i="3" a="1"/>
  <c r="D402" i="3" s="1"/>
  <c r="D403" i="3" a="1"/>
  <c r="D403" i="3" s="1"/>
  <c r="D404" i="3" a="1"/>
  <c r="D404" i="3" s="1"/>
  <c r="D405" i="3" a="1"/>
  <c r="D405" i="3" s="1"/>
  <c r="D406" i="3" a="1"/>
  <c r="D406" i="3" s="1"/>
  <c r="D407" i="3" a="1"/>
  <c r="D407" i="3" s="1"/>
  <c r="D408" i="3" a="1"/>
  <c r="D408" i="3"/>
  <c r="D409" i="3" a="1"/>
  <c r="D409" i="3" s="1"/>
  <c r="D410" i="3" a="1"/>
  <c r="D410" i="3" s="1"/>
  <c r="D411" i="3" a="1"/>
  <c r="D411" i="3" s="1"/>
  <c r="D412" i="3" a="1"/>
  <c r="D412" i="3" s="1"/>
  <c r="D413" i="3" a="1"/>
  <c r="D413" i="3" s="1"/>
  <c r="D414" i="3" a="1"/>
  <c r="D414" i="3" s="1"/>
  <c r="D415" i="3" a="1"/>
  <c r="D415" i="3" s="1"/>
  <c r="D416" i="3" a="1"/>
  <c r="D416" i="3"/>
  <c r="D417" i="3" a="1"/>
  <c r="D417" i="3" s="1"/>
  <c r="D418" i="3" a="1"/>
  <c r="D418" i="3" s="1"/>
  <c r="D419" i="3" a="1"/>
  <c r="D419" i="3" s="1"/>
  <c r="D420" i="3" a="1"/>
  <c r="D420" i="3" s="1"/>
  <c r="D421" i="3" a="1"/>
  <c r="D421" i="3" s="1"/>
  <c r="D422" i="3" a="1"/>
  <c r="D422" i="3" s="1"/>
  <c r="D423" i="3" a="1"/>
  <c r="D423" i="3" s="1"/>
  <c r="D424" i="3" a="1"/>
  <c r="D424" i="3"/>
  <c r="D425" i="3" a="1"/>
  <c r="D425" i="3" s="1"/>
  <c r="D426" i="3" a="1"/>
  <c r="D426" i="3" s="1"/>
  <c r="D427" i="3" a="1"/>
  <c r="D427" i="3" s="1"/>
  <c r="D428" i="3" a="1"/>
  <c r="D428" i="3" s="1"/>
  <c r="D429" i="3" a="1"/>
  <c r="D429" i="3" s="1"/>
  <c r="D430" i="3" a="1"/>
  <c r="D430" i="3" s="1"/>
  <c r="D431" i="3" a="1"/>
  <c r="D431" i="3" s="1"/>
  <c r="D432" i="3" a="1"/>
  <c r="D432" i="3"/>
  <c r="D433" i="3" a="1"/>
  <c r="D433" i="3" s="1"/>
  <c r="D434" i="3" a="1"/>
  <c r="D434" i="3" s="1"/>
  <c r="D435" i="3" a="1"/>
  <c r="D435" i="3" s="1"/>
  <c r="D436" i="3" a="1"/>
  <c r="D436" i="3" s="1"/>
  <c r="D437" i="3" a="1"/>
  <c r="D437" i="3" s="1"/>
  <c r="D438" i="3" a="1"/>
  <c r="D438" i="3" s="1"/>
  <c r="D439" i="3" a="1"/>
  <c r="D439" i="3" s="1"/>
  <c r="D440" i="3" a="1"/>
  <c r="D440" i="3" s="1"/>
  <c r="D441" i="3" a="1"/>
  <c r="D441" i="3" s="1"/>
  <c r="D442" i="3" a="1"/>
  <c r="D442" i="3" s="1"/>
  <c r="D443" i="3" a="1"/>
  <c r="D443" i="3" s="1"/>
  <c r="D444" i="3" a="1"/>
  <c r="D444" i="3" s="1"/>
  <c r="D445" i="3" a="1"/>
  <c r="D445" i="3" s="1"/>
  <c r="D446" i="3" a="1"/>
  <c r="D446" i="3" s="1"/>
  <c r="D447" i="3" a="1"/>
  <c r="D447" i="3" s="1"/>
  <c r="D448" i="3" a="1"/>
  <c r="D448" i="3"/>
  <c r="D449" i="3" a="1"/>
  <c r="D449" i="3" s="1"/>
  <c r="D450" i="3" a="1"/>
  <c r="D450" i="3" s="1"/>
  <c r="D451" i="3" a="1"/>
  <c r="D451" i="3" s="1"/>
  <c r="D452" i="3" a="1"/>
  <c r="D452" i="3" s="1"/>
  <c r="D453" i="3" a="1"/>
  <c r="D453" i="3" s="1"/>
  <c r="D454" i="3" a="1"/>
  <c r="D454" i="3" s="1"/>
  <c r="D455" i="3" a="1"/>
  <c r="D455" i="3" s="1"/>
  <c r="D456" i="3" a="1"/>
  <c r="D456" i="3"/>
  <c r="D457" i="3" a="1"/>
  <c r="D457" i="3" s="1"/>
  <c r="D458" i="3" a="1"/>
  <c r="D458" i="3" s="1"/>
  <c r="D459" i="3" a="1"/>
  <c r="D459" i="3" s="1"/>
  <c r="D460" i="3" a="1"/>
  <c r="D460" i="3" s="1"/>
  <c r="D461" i="3" a="1"/>
  <c r="D461" i="3" s="1"/>
  <c r="D462" i="3" a="1"/>
  <c r="D462" i="3" s="1"/>
  <c r="D463" i="3" a="1"/>
  <c r="D463" i="3" s="1"/>
  <c r="D464" i="3" a="1"/>
  <c r="D464" i="3" s="1"/>
  <c r="D465" i="3" a="1"/>
  <c r="D465" i="3" s="1"/>
  <c r="D466" i="3" a="1"/>
  <c r="D466" i="3" s="1"/>
  <c r="D467" i="3" a="1"/>
  <c r="D467" i="3" s="1"/>
  <c r="D468" i="3" a="1"/>
  <c r="D468" i="3" s="1"/>
  <c r="D469" i="3" a="1"/>
  <c r="D469" i="3" s="1"/>
  <c r="D470" i="3" a="1"/>
  <c r="D470" i="3" s="1"/>
  <c r="D471" i="3" a="1"/>
  <c r="D471" i="3" s="1"/>
  <c r="D472" i="3" a="1"/>
  <c r="D472" i="3" s="1"/>
  <c r="D473" i="3" a="1"/>
  <c r="D473" i="3" s="1"/>
  <c r="D474" i="3" a="1"/>
  <c r="D474" i="3" s="1"/>
  <c r="D475" i="3" a="1"/>
  <c r="D475" i="3" s="1"/>
  <c r="D476" i="3" a="1"/>
  <c r="D476" i="3" s="1"/>
  <c r="D477" i="3" a="1"/>
  <c r="D477" i="3" s="1"/>
  <c r="D478" i="3" a="1"/>
  <c r="D478" i="3" s="1"/>
  <c r="D479" i="3" a="1"/>
  <c r="D479" i="3" s="1"/>
  <c r="D480" i="3" a="1"/>
  <c r="D480" i="3"/>
  <c r="D481" i="3" a="1"/>
  <c r="D481" i="3" s="1"/>
  <c r="D482" i="3" a="1"/>
  <c r="D482" i="3" s="1"/>
  <c r="D483" i="3" a="1"/>
  <c r="D483" i="3" s="1"/>
  <c r="D484" i="3" a="1"/>
  <c r="D484" i="3" s="1"/>
  <c r="D485" i="3" a="1"/>
  <c r="D485" i="3" s="1"/>
  <c r="D486" i="3" a="1"/>
  <c r="D486" i="3" s="1"/>
  <c r="D487" i="3" a="1"/>
  <c r="D487" i="3" s="1"/>
  <c r="D488" i="3" a="1"/>
  <c r="D488" i="3"/>
  <c r="D489" i="3" a="1"/>
  <c r="D489" i="3" s="1"/>
  <c r="D490" i="3" a="1"/>
  <c r="D490" i="3" s="1"/>
  <c r="D491" i="3" a="1"/>
  <c r="D491" i="3" s="1"/>
  <c r="D492" i="3" a="1"/>
  <c r="D492" i="3" s="1"/>
  <c r="D493" i="3" a="1"/>
  <c r="D493" i="3" s="1"/>
  <c r="D494" i="3" a="1"/>
  <c r="D494" i="3" s="1"/>
  <c r="D495" i="3" a="1"/>
  <c r="D495" i="3" s="1"/>
  <c r="D496" i="3" a="1"/>
  <c r="D496" i="3" s="1"/>
  <c r="D497" i="3" a="1"/>
  <c r="D497" i="3" s="1"/>
  <c r="D498" i="3" a="1"/>
  <c r="D498" i="3" s="1"/>
  <c r="D499" i="3" a="1"/>
  <c r="D499" i="3" s="1"/>
  <c r="D500" i="3" a="1"/>
  <c r="D500" i="3" s="1"/>
  <c r="D501" i="3" a="1"/>
  <c r="D501" i="3" s="1"/>
  <c r="D502" i="3" a="1"/>
  <c r="D502" i="3" s="1"/>
  <c r="D503" i="3" a="1"/>
  <c r="D503" i="3" s="1"/>
  <c r="D504" i="3" a="1"/>
  <c r="D504" i="3" s="1"/>
  <c r="D505" i="3" a="1"/>
  <c r="D505" i="3" s="1"/>
  <c r="D506" i="3" a="1"/>
  <c r="D506" i="3" s="1"/>
  <c r="D507" i="3" a="1"/>
  <c r="D507" i="3" s="1"/>
  <c r="D508" i="3" a="1"/>
  <c r="D508" i="3" s="1"/>
  <c r="D509" i="3" a="1"/>
  <c r="D509" i="3" s="1"/>
  <c r="D510" i="3" a="1"/>
  <c r="D510" i="3" s="1"/>
  <c r="D511" i="3" a="1"/>
  <c r="D511" i="3" s="1"/>
  <c r="D512" i="3" a="1"/>
  <c r="D512" i="3"/>
  <c r="D513" i="3" a="1"/>
  <c r="D513" i="3" s="1"/>
  <c r="D514" i="3" a="1"/>
  <c r="D514" i="3" s="1"/>
  <c r="D515" i="3" a="1"/>
  <c r="D515" i="3" s="1"/>
  <c r="D516" i="3" a="1"/>
  <c r="D516" i="3" s="1"/>
  <c r="D517" i="3" a="1"/>
  <c r="D517" i="3" s="1"/>
  <c r="D518" i="3" a="1"/>
  <c r="D518" i="3" s="1"/>
  <c r="D519" i="3" a="1"/>
  <c r="D519" i="3" s="1"/>
  <c r="D520" i="3" a="1"/>
  <c r="D520" i="3"/>
  <c r="D521" i="3" a="1"/>
  <c r="D521" i="3" s="1"/>
  <c r="D522" i="3" a="1"/>
  <c r="D522" i="3" s="1"/>
  <c r="D523" i="3" a="1"/>
  <c r="D523" i="3" s="1"/>
  <c r="D524" i="3" a="1"/>
  <c r="D524" i="3" s="1"/>
  <c r="D525" i="3" a="1"/>
  <c r="D525" i="3" s="1"/>
  <c r="D526" i="3" a="1"/>
  <c r="D526" i="3" s="1"/>
  <c r="D527" i="3" a="1"/>
  <c r="D527" i="3" s="1"/>
  <c r="D528" i="3" a="1"/>
  <c r="D528" i="3"/>
  <c r="D529" i="3" a="1"/>
  <c r="D529" i="3" s="1"/>
  <c r="D530" i="3" a="1"/>
  <c r="D530" i="3" s="1"/>
  <c r="D531" i="3" a="1"/>
  <c r="D531" i="3" s="1"/>
  <c r="D532" i="3" a="1"/>
  <c r="D532" i="3" s="1"/>
  <c r="D533" i="3" a="1"/>
  <c r="D533" i="3" s="1"/>
  <c r="D534" i="3" a="1"/>
  <c r="D534" i="3" s="1"/>
  <c r="D535" i="3" a="1"/>
  <c r="D535" i="3" s="1"/>
  <c r="D536" i="3" a="1"/>
  <c r="D536" i="3" s="1"/>
  <c r="D537" i="3" a="1"/>
  <c r="D537" i="3" s="1"/>
  <c r="D538" i="3" a="1"/>
  <c r="D538" i="3" s="1"/>
  <c r="D539" i="3" a="1"/>
  <c r="D539" i="3" s="1"/>
  <c r="D540" i="3" a="1"/>
  <c r="D540" i="3" s="1"/>
  <c r="D541" i="3" a="1"/>
  <c r="D541" i="3" s="1"/>
  <c r="D542" i="3" a="1"/>
  <c r="D542" i="3" s="1"/>
  <c r="D543" i="3" a="1"/>
  <c r="D543" i="3" s="1"/>
  <c r="D544" i="3" a="1"/>
  <c r="D544" i="3"/>
  <c r="D545" i="3" a="1"/>
  <c r="D545" i="3" s="1"/>
  <c r="D546" i="3" a="1"/>
  <c r="D546" i="3" s="1"/>
  <c r="D547" i="3" a="1"/>
  <c r="D547" i="3" s="1"/>
  <c r="D548" i="3" a="1"/>
  <c r="D548" i="3" s="1"/>
  <c r="D549" i="3" a="1"/>
  <c r="D549" i="3" s="1"/>
  <c r="D550" i="3" a="1"/>
  <c r="D550" i="3" s="1"/>
  <c r="D551" i="3" a="1"/>
  <c r="D551" i="3" s="1"/>
  <c r="D552" i="3" a="1"/>
  <c r="D552" i="3"/>
  <c r="D553" i="3" a="1"/>
  <c r="D553" i="3" s="1"/>
  <c r="D554" i="3" a="1"/>
  <c r="D554" i="3" s="1"/>
  <c r="D555" i="3" a="1"/>
  <c r="D555" i="3" s="1"/>
  <c r="D556" i="3" a="1"/>
  <c r="D556" i="3" s="1"/>
  <c r="D557" i="3" a="1"/>
  <c r="D557" i="3" s="1"/>
  <c r="D558" i="3" a="1"/>
  <c r="D558" i="3" s="1"/>
  <c r="D559" i="3" a="1"/>
  <c r="D559" i="3" s="1"/>
  <c r="D560" i="3" a="1"/>
  <c r="D560" i="3"/>
  <c r="D561" i="3" a="1"/>
  <c r="D561" i="3" s="1"/>
  <c r="D562" i="3" a="1"/>
  <c r="D562" i="3" s="1"/>
  <c r="D563" i="3" a="1"/>
  <c r="D563" i="3" s="1"/>
  <c r="D564" i="3" a="1"/>
  <c r="D564" i="3" s="1"/>
  <c r="D565" i="3" a="1"/>
  <c r="D565" i="3" s="1"/>
  <c r="D566" i="3" a="1"/>
  <c r="D566" i="3" s="1"/>
  <c r="D567" i="3" a="1"/>
  <c r="D567" i="3" s="1"/>
  <c r="D568" i="3" a="1"/>
  <c r="D568" i="3" s="1"/>
  <c r="D569" i="3" a="1"/>
  <c r="D569" i="3" s="1"/>
  <c r="D570" i="3" a="1"/>
  <c r="D570" i="3" s="1"/>
  <c r="D571" i="3" a="1"/>
  <c r="D571" i="3" s="1"/>
  <c r="D572" i="3" a="1"/>
  <c r="D572" i="3" s="1"/>
  <c r="D573" i="3" a="1"/>
  <c r="D573" i="3" s="1"/>
  <c r="D574" i="3" a="1"/>
  <c r="D574" i="3" s="1"/>
  <c r="D575" i="3" a="1"/>
  <c r="D575" i="3" s="1"/>
  <c r="D576" i="3" a="1"/>
  <c r="D576" i="3" s="1"/>
  <c r="D577" i="3" a="1"/>
  <c r="D577" i="3" s="1"/>
  <c r="D578" i="3" a="1"/>
  <c r="D578" i="3" s="1"/>
  <c r="D579" i="3" a="1"/>
  <c r="D579" i="3" s="1"/>
  <c r="D580" i="3" a="1"/>
  <c r="D580" i="3" s="1"/>
  <c r="D581" i="3" a="1"/>
  <c r="D581" i="3" s="1"/>
  <c r="D582" i="3" a="1"/>
  <c r="D582" i="3" s="1"/>
  <c r="D583" i="3" a="1"/>
  <c r="D583" i="3" s="1"/>
  <c r="D584" i="3" a="1"/>
  <c r="D584" i="3"/>
  <c r="D585" i="3" a="1"/>
  <c r="D585" i="3" s="1"/>
  <c r="D586" i="3" a="1"/>
  <c r="D586" i="3" s="1"/>
  <c r="D587" i="3" a="1"/>
  <c r="D587" i="3" s="1"/>
  <c r="D588" i="3" a="1"/>
  <c r="D588" i="3" s="1"/>
  <c r="D589" i="3" a="1"/>
  <c r="D589" i="3" s="1"/>
  <c r="D590" i="3" a="1"/>
  <c r="D590" i="3" s="1"/>
  <c r="D591" i="3" a="1"/>
  <c r="D591" i="3" s="1"/>
  <c r="D592" i="3" a="1"/>
  <c r="D592" i="3" s="1"/>
  <c r="D593" i="3" a="1"/>
  <c r="D593" i="3" s="1"/>
  <c r="D594" i="3" a="1"/>
  <c r="D594" i="3" s="1"/>
  <c r="D595" i="3" a="1"/>
  <c r="D595" i="3" s="1"/>
  <c r="D596" i="3" a="1"/>
  <c r="D596" i="3" s="1"/>
  <c r="D597" i="3" a="1"/>
  <c r="D597" i="3" s="1"/>
  <c r="D598" i="3" a="1"/>
  <c r="D598" i="3" s="1"/>
  <c r="D599" i="3" a="1"/>
  <c r="D599" i="3" s="1"/>
  <c r="D600" i="3" a="1"/>
  <c r="D600" i="3" s="1"/>
  <c r="D601" i="3" a="1"/>
  <c r="D601" i="3" s="1"/>
  <c r="D602" i="3" a="1"/>
  <c r="D602" i="3" s="1"/>
  <c r="D603" i="3" a="1"/>
  <c r="D603" i="3" s="1"/>
  <c r="D604" i="3" a="1"/>
  <c r="D604" i="3" s="1"/>
  <c r="D605" i="3" a="1"/>
  <c r="D605" i="3" s="1"/>
  <c r="D606" i="3" a="1"/>
  <c r="D606" i="3" s="1"/>
  <c r="D607" i="3" a="1"/>
  <c r="D607" i="3" s="1"/>
  <c r="D608" i="3" a="1"/>
  <c r="D608" i="3"/>
  <c r="D609" i="3" a="1"/>
  <c r="D609" i="3" s="1"/>
  <c r="D610" i="3" a="1"/>
  <c r="D610" i="3" s="1"/>
  <c r="D611" i="3" a="1"/>
  <c r="D611" i="3" s="1"/>
  <c r="D612" i="3" a="1"/>
  <c r="D612" i="3" s="1"/>
  <c r="D613" i="3" a="1"/>
  <c r="D613" i="3" s="1"/>
  <c r="D614" i="3" a="1"/>
  <c r="D614" i="3" s="1"/>
  <c r="D615" i="3" a="1"/>
  <c r="D615" i="3" s="1"/>
  <c r="D616" i="3" a="1"/>
  <c r="D616" i="3"/>
  <c r="D617" i="3" a="1"/>
  <c r="D617" i="3" s="1"/>
  <c r="D618" i="3" a="1"/>
  <c r="D618" i="3" s="1"/>
  <c r="D619" i="3" a="1"/>
  <c r="D619" i="3" s="1"/>
  <c r="D620" i="3" a="1"/>
  <c r="D620" i="3" s="1"/>
  <c r="D621" i="3" a="1"/>
  <c r="D621" i="3" s="1"/>
  <c r="D622" i="3" a="1"/>
  <c r="D622" i="3" s="1"/>
  <c r="D623" i="3" a="1"/>
  <c r="D623" i="3" s="1"/>
  <c r="D624" i="3" a="1"/>
  <c r="D624" i="3" s="1"/>
  <c r="D625" i="3" a="1"/>
  <c r="D625" i="3" s="1"/>
  <c r="D626" i="3" a="1"/>
  <c r="D626" i="3" s="1"/>
  <c r="D627" i="3" a="1"/>
  <c r="D627" i="3" s="1"/>
  <c r="D628" i="3" a="1"/>
  <c r="D628" i="3" s="1"/>
  <c r="D629" i="3" a="1"/>
  <c r="D629" i="3" s="1"/>
  <c r="D630" i="3" a="1"/>
  <c r="D630" i="3" s="1"/>
  <c r="D631" i="3" a="1"/>
  <c r="D631" i="3" s="1"/>
  <c r="D632" i="3" a="1"/>
  <c r="D632" i="3" s="1"/>
  <c r="D633" i="3" a="1"/>
  <c r="D633" i="3" s="1"/>
  <c r="D634" i="3" a="1"/>
  <c r="D634" i="3" s="1"/>
  <c r="D635" i="3" a="1"/>
  <c r="D635" i="3" s="1"/>
  <c r="D636" i="3" a="1"/>
  <c r="D636" i="3" s="1"/>
  <c r="D637" i="3" a="1"/>
  <c r="D637" i="3" s="1"/>
  <c r="D638" i="3" a="1"/>
  <c r="D638" i="3" s="1"/>
  <c r="D639" i="3" a="1"/>
  <c r="D639" i="3" s="1"/>
  <c r="D640" i="3" a="1"/>
  <c r="D640" i="3"/>
  <c r="D641" i="3" a="1"/>
  <c r="D641" i="3" s="1"/>
  <c r="D642" i="3" a="1"/>
  <c r="D642" i="3" s="1"/>
  <c r="D643" i="3" a="1"/>
  <c r="D643" i="3" s="1"/>
  <c r="D644" i="3" a="1"/>
  <c r="D644" i="3" s="1"/>
  <c r="D645" i="3" a="1"/>
  <c r="D645" i="3" s="1"/>
  <c r="D646" i="3" a="1"/>
  <c r="D646" i="3" s="1"/>
  <c r="D647" i="3" a="1"/>
  <c r="D647" i="3"/>
  <c r="D648" i="3" a="1"/>
  <c r="D648" i="3" s="1"/>
  <c r="D649" i="3" a="1"/>
  <c r="D649" i="3" s="1"/>
  <c r="D650" i="3" a="1"/>
  <c r="D650" i="3" s="1"/>
  <c r="D651" i="3" a="1"/>
  <c r="D651" i="3" s="1"/>
  <c r="D652" i="3" a="1"/>
  <c r="D652" i="3" s="1"/>
  <c r="D653" i="3" a="1"/>
  <c r="D653" i="3" s="1"/>
  <c r="D654" i="3" a="1"/>
  <c r="D654" i="3" s="1"/>
  <c r="D655" i="3" a="1"/>
  <c r="D655" i="3"/>
  <c r="D656" i="3" a="1"/>
  <c r="D656" i="3" s="1"/>
  <c r="D657" i="3" a="1"/>
  <c r="D657" i="3" s="1"/>
  <c r="D658" i="3" a="1"/>
  <c r="D658" i="3" s="1"/>
  <c r="D659" i="3" a="1"/>
  <c r="D659" i="3" s="1"/>
  <c r="D660" i="3" a="1"/>
  <c r="D660" i="3" s="1"/>
  <c r="D661" i="3" a="1"/>
  <c r="D661" i="3" s="1"/>
  <c r="D662" i="3" a="1"/>
  <c r="D662" i="3" s="1"/>
  <c r="D663" i="3" a="1"/>
  <c r="D663" i="3" s="1"/>
  <c r="D664" i="3" a="1"/>
  <c r="D664" i="3" s="1"/>
  <c r="D665" i="3" a="1"/>
  <c r="D665" i="3" s="1"/>
  <c r="D666" i="3" a="1"/>
  <c r="D666" i="3" s="1"/>
  <c r="D667" i="3" a="1"/>
  <c r="D667" i="3" s="1"/>
  <c r="D668" i="3" a="1"/>
  <c r="D668" i="3" s="1"/>
  <c r="D669" i="3" a="1"/>
  <c r="D669" i="3" s="1"/>
  <c r="D670" i="3" a="1"/>
  <c r="D670" i="3" s="1"/>
  <c r="D671" i="3" a="1"/>
  <c r="D671" i="3" s="1"/>
  <c r="D672" i="3" a="1"/>
  <c r="D672" i="3" s="1"/>
  <c r="D673" i="3" a="1"/>
  <c r="D673" i="3" s="1"/>
  <c r="D674" i="3" a="1"/>
  <c r="D674" i="3" s="1"/>
  <c r="D675" i="3" a="1"/>
  <c r="D675" i="3" s="1"/>
  <c r="D676" i="3" a="1"/>
  <c r="D676" i="3" s="1"/>
  <c r="D677" i="3" a="1"/>
  <c r="D677" i="3" s="1"/>
  <c r="D678" i="3" a="1"/>
  <c r="D678" i="3" s="1"/>
  <c r="D679" i="3" a="1"/>
  <c r="D679" i="3" s="1"/>
  <c r="D680" i="3" a="1"/>
  <c r="D680" i="3" s="1"/>
  <c r="D681" i="3" a="1"/>
  <c r="D681" i="3" s="1"/>
  <c r="D682" i="3" a="1"/>
  <c r="D682" i="3" s="1"/>
  <c r="D683" i="3" a="1"/>
  <c r="D683" i="3" s="1"/>
  <c r="D684" i="3" a="1"/>
  <c r="D684" i="3" s="1"/>
  <c r="D685" i="3" a="1"/>
  <c r="D685" i="3" s="1"/>
  <c r="D686" i="3" a="1"/>
  <c r="D686" i="3" s="1"/>
  <c r="D687" i="3" a="1"/>
  <c r="D687" i="3" s="1"/>
  <c r="D688" i="3" a="1"/>
  <c r="D688" i="3" s="1"/>
  <c r="D689" i="3" a="1"/>
  <c r="D689" i="3" s="1"/>
  <c r="D690" i="3" a="1"/>
  <c r="D690" i="3" s="1"/>
  <c r="D691" i="3" a="1"/>
  <c r="D691" i="3" s="1"/>
  <c r="D692" i="3" a="1"/>
  <c r="D692" i="3" s="1"/>
  <c r="D693" i="3" a="1"/>
  <c r="D693" i="3" s="1"/>
  <c r="D694" i="3" a="1"/>
  <c r="D694" i="3" s="1"/>
  <c r="D695" i="3" a="1"/>
  <c r="D695" i="3" s="1"/>
  <c r="D696" i="3" a="1"/>
  <c r="D696" i="3" s="1"/>
  <c r="D697" i="3" a="1"/>
  <c r="D697" i="3" s="1"/>
  <c r="D698" i="3" a="1"/>
  <c r="D698" i="3" s="1"/>
  <c r="D699" i="3" a="1"/>
  <c r="D699" i="3" s="1"/>
  <c r="D700" i="3" a="1"/>
  <c r="D700" i="3" s="1"/>
  <c r="D701" i="3" a="1"/>
  <c r="D701" i="3" s="1"/>
  <c r="D702" i="3" a="1"/>
  <c r="D702" i="3" s="1"/>
  <c r="D703" i="3" a="1"/>
  <c r="D703" i="3" s="1"/>
  <c r="D704" i="3" a="1"/>
  <c r="D704" i="3" s="1"/>
  <c r="D705" i="3" a="1"/>
  <c r="D705" i="3" s="1"/>
  <c r="D706" i="3" a="1"/>
  <c r="D706" i="3" s="1"/>
  <c r="D707" i="3" a="1"/>
  <c r="D707" i="3"/>
  <c r="D708" i="3" a="1"/>
  <c r="D708" i="3" s="1"/>
  <c r="D709" i="3" a="1"/>
  <c r="D709" i="3" s="1"/>
  <c r="D710" i="3" a="1"/>
  <c r="D710" i="3" s="1"/>
  <c r="D711" i="3" a="1"/>
  <c r="D711" i="3" s="1"/>
  <c r="D712" i="3" a="1"/>
  <c r="D712" i="3" s="1"/>
  <c r="D713" i="3" a="1"/>
  <c r="D713" i="3" s="1"/>
  <c r="D714" i="3" a="1"/>
  <c r="D714" i="3" s="1"/>
  <c r="D715" i="3" a="1"/>
  <c r="D715" i="3"/>
  <c r="D716" i="3" a="1"/>
  <c r="D716" i="3" s="1"/>
  <c r="D717" i="3" a="1"/>
  <c r="D717" i="3" s="1"/>
  <c r="D718" i="3" a="1"/>
  <c r="D718" i="3" s="1"/>
  <c r="D719" i="3" a="1"/>
  <c r="D719" i="3" s="1"/>
  <c r="D720" i="3" a="1"/>
  <c r="D720" i="3" s="1"/>
  <c r="D721" i="3" a="1"/>
  <c r="D721" i="3" s="1"/>
  <c r="D722" i="3" a="1"/>
  <c r="D722" i="3" s="1"/>
  <c r="D723" i="3" a="1"/>
  <c r="D723" i="3"/>
  <c r="D724" i="3" a="1"/>
  <c r="D724" i="3" s="1"/>
  <c r="D725" i="3" a="1"/>
  <c r="D725" i="3" s="1"/>
  <c r="D726" i="3" a="1"/>
  <c r="D726" i="3" s="1"/>
  <c r="D727" i="3" a="1"/>
  <c r="D727" i="3" s="1"/>
  <c r="D728" i="3" a="1"/>
  <c r="D728" i="3" s="1"/>
  <c r="D729" i="3" a="1"/>
  <c r="D729" i="3" s="1"/>
  <c r="D730" i="3" a="1"/>
  <c r="D730" i="3" s="1"/>
  <c r="D731" i="3" a="1"/>
  <c r="D731" i="3"/>
  <c r="D732" i="3" a="1"/>
  <c r="D732" i="3" s="1"/>
  <c r="D733" i="3" a="1"/>
  <c r="D733" i="3" s="1"/>
  <c r="D734" i="3" a="1"/>
  <c r="D734" i="3" s="1"/>
  <c r="D735" i="3" a="1"/>
  <c r="D735" i="3" s="1"/>
  <c r="D736" i="3" a="1"/>
  <c r="D736" i="3" s="1"/>
  <c r="D737" i="3" a="1"/>
  <c r="D737" i="3" s="1"/>
  <c r="D738" i="3" a="1"/>
  <c r="D738" i="3" s="1"/>
  <c r="D739" i="3" a="1"/>
  <c r="D739" i="3"/>
  <c r="D740" i="3" a="1"/>
  <c r="D740" i="3" s="1"/>
  <c r="D741" i="3" a="1"/>
  <c r="D741" i="3" s="1"/>
  <c r="D742" i="3" a="1"/>
  <c r="D742" i="3" s="1"/>
  <c r="D743" i="3" a="1"/>
  <c r="D743" i="3" s="1"/>
  <c r="D744" i="3" a="1"/>
  <c r="D744" i="3" s="1"/>
  <c r="D745" i="3" a="1"/>
  <c r="D745" i="3" s="1"/>
  <c r="D746" i="3" a="1"/>
  <c r="D746" i="3" s="1"/>
  <c r="D747" i="3" a="1"/>
  <c r="D747" i="3" s="1"/>
  <c r="D748" i="3" a="1"/>
  <c r="D748" i="3" s="1"/>
  <c r="D749" i="3" a="1"/>
  <c r="D749" i="3" s="1"/>
  <c r="D750" i="3" a="1"/>
  <c r="D750" i="3" s="1"/>
  <c r="D751" i="3" a="1"/>
  <c r="D751" i="3"/>
  <c r="D752" i="3" a="1"/>
  <c r="D752" i="3" s="1"/>
  <c r="D753" i="3" a="1"/>
  <c r="D753" i="3" s="1"/>
  <c r="D754" i="3" a="1"/>
  <c r="D754" i="3" s="1"/>
  <c r="D755" i="3" a="1"/>
  <c r="D755" i="3"/>
  <c r="D756" i="3" a="1"/>
  <c r="D756" i="3" s="1"/>
  <c r="D757" i="3" a="1"/>
  <c r="D757" i="3" s="1"/>
  <c r="D758" i="3" a="1"/>
  <c r="D758" i="3" s="1"/>
  <c r="D759" i="3" a="1"/>
  <c r="D759" i="3"/>
  <c r="D760" i="3" a="1"/>
  <c r="D760" i="3" s="1"/>
  <c r="D761" i="3" a="1"/>
  <c r="D761" i="3" s="1"/>
  <c r="D762" i="3" a="1"/>
  <c r="D762" i="3" s="1"/>
  <c r="D763" i="3" a="1"/>
  <c r="D763" i="3"/>
  <c r="D764" i="3" a="1"/>
  <c r="D764" i="3" s="1"/>
  <c r="D765" i="3" a="1"/>
  <c r="D765" i="3" s="1"/>
  <c r="D766" i="3" a="1"/>
  <c r="D766" i="3" s="1"/>
  <c r="D767" i="3" a="1"/>
  <c r="D767" i="3"/>
  <c r="D768" i="3" a="1"/>
  <c r="D768" i="3" s="1"/>
  <c r="D769" i="3" a="1"/>
  <c r="D769" i="3" s="1"/>
  <c r="D770" i="3" a="1"/>
  <c r="D770" i="3" s="1"/>
  <c r="D771" i="3" a="1"/>
  <c r="D771" i="3"/>
  <c r="D772" i="3" a="1"/>
  <c r="D772" i="3" s="1"/>
  <c r="D773" i="3" a="1"/>
  <c r="D773" i="3" s="1"/>
  <c r="D774" i="3" a="1"/>
  <c r="D774" i="3" s="1"/>
  <c r="D775" i="3" a="1"/>
  <c r="D775" i="3"/>
  <c r="D776" i="3" a="1"/>
  <c r="D776" i="3" s="1"/>
  <c r="D777" i="3" a="1"/>
  <c r="D777" i="3" s="1"/>
  <c r="D778" i="3" a="1"/>
  <c r="D778" i="3" s="1"/>
  <c r="D779" i="3" a="1"/>
  <c r="D779" i="3"/>
  <c r="D780" i="3" a="1"/>
  <c r="D780" i="3" s="1"/>
  <c r="D781" i="3" a="1"/>
  <c r="D781" i="3" s="1"/>
  <c r="D782" i="3" a="1"/>
  <c r="D782" i="3" s="1"/>
  <c r="D783" i="3" a="1"/>
  <c r="D783" i="3"/>
  <c r="D784" i="3" a="1"/>
  <c r="D784" i="3" s="1"/>
  <c r="D785" i="3" a="1"/>
  <c r="D785" i="3" s="1"/>
  <c r="D786" i="3" a="1"/>
  <c r="D786" i="3" s="1"/>
  <c r="D787" i="3" a="1"/>
  <c r="D787" i="3"/>
  <c r="D788" i="3" a="1"/>
  <c r="D788" i="3" s="1"/>
  <c r="D789" i="3" a="1"/>
  <c r="D789" i="3" s="1"/>
  <c r="D790" i="3" a="1"/>
  <c r="D790" i="3" s="1"/>
  <c r="D791" i="3" a="1"/>
  <c r="D791" i="3"/>
  <c r="D792" i="3" a="1"/>
  <c r="D792" i="3" s="1"/>
  <c r="D793" i="3" a="1"/>
  <c r="D793" i="3" s="1"/>
  <c r="D794" i="3" a="1"/>
  <c r="D794" i="3" s="1"/>
  <c r="D795" i="3" a="1"/>
  <c r="D795" i="3"/>
  <c r="D796" i="3" a="1"/>
  <c r="D796" i="3" s="1"/>
  <c r="D797" i="3" a="1"/>
  <c r="D797" i="3" s="1"/>
  <c r="D798" i="3" a="1"/>
  <c r="D798" i="3" s="1"/>
  <c r="D799" i="3" a="1"/>
  <c r="D799" i="3"/>
  <c r="D800" i="3" a="1"/>
  <c r="D800" i="3" s="1"/>
  <c r="D801" i="3" a="1"/>
  <c r="D801" i="3" s="1"/>
  <c r="D802" i="3" a="1"/>
  <c r="D802" i="3" s="1"/>
  <c r="D803" i="3" a="1"/>
  <c r="D803" i="3"/>
  <c r="D804" i="3" a="1"/>
  <c r="D804" i="3" s="1"/>
  <c r="D805" i="3" a="1"/>
  <c r="D805" i="3" s="1"/>
  <c r="D806" i="3" a="1"/>
  <c r="D806" i="3" s="1"/>
  <c r="D807" i="3" a="1"/>
  <c r="D807" i="3"/>
  <c r="D808" i="3" a="1"/>
  <c r="D808" i="3" s="1"/>
  <c r="D809" i="3" a="1"/>
  <c r="D809" i="3" s="1"/>
  <c r="D810" i="3" a="1"/>
  <c r="D810" i="3" s="1"/>
  <c r="D811" i="3" a="1"/>
  <c r="D811" i="3"/>
  <c r="D812" i="3" a="1"/>
  <c r="D812" i="3" s="1"/>
  <c r="D813" i="3" a="1"/>
  <c r="D813" i="3" s="1"/>
  <c r="D814" i="3" a="1"/>
  <c r="D814" i="3" s="1"/>
  <c r="D815" i="3" a="1"/>
  <c r="D815" i="3"/>
  <c r="D816" i="3" a="1"/>
  <c r="D816" i="3" s="1"/>
  <c r="D817" i="3" a="1"/>
  <c r="D817" i="3" s="1"/>
  <c r="D818" i="3" a="1"/>
  <c r="D818" i="3" s="1"/>
  <c r="D819" i="3" a="1"/>
  <c r="D819" i="3"/>
  <c r="D820" i="3" a="1"/>
  <c r="D820" i="3" s="1"/>
  <c r="D821" i="3" a="1"/>
  <c r="D821" i="3" s="1"/>
  <c r="D822" i="3" a="1"/>
  <c r="D822" i="3" s="1"/>
  <c r="D823" i="3" a="1"/>
  <c r="D823" i="3"/>
  <c r="D824" i="3" a="1"/>
  <c r="D824" i="3" s="1"/>
  <c r="D825" i="3" a="1"/>
  <c r="D825" i="3" s="1"/>
  <c r="D826" i="3" a="1"/>
  <c r="D826" i="3" s="1"/>
  <c r="D827" i="3" a="1"/>
  <c r="D827" i="3"/>
  <c r="D828" i="3" a="1"/>
  <c r="D828" i="3" s="1"/>
  <c r="D829" i="3" a="1"/>
  <c r="D829" i="3" s="1"/>
  <c r="D830" i="3" a="1"/>
  <c r="D830" i="3" s="1"/>
  <c r="D831" i="3" a="1"/>
  <c r="D831" i="3"/>
  <c r="D832" i="3" a="1"/>
  <c r="D832" i="3" s="1"/>
  <c r="D833" i="3" a="1"/>
  <c r="D833" i="3" s="1"/>
  <c r="D834" i="3" a="1"/>
  <c r="D834" i="3" s="1"/>
  <c r="D835" i="3" a="1"/>
  <c r="D835" i="3"/>
  <c r="D836" i="3" a="1"/>
  <c r="D836" i="3" s="1"/>
  <c r="D837" i="3" a="1"/>
  <c r="D837" i="3" s="1"/>
  <c r="D838" i="3" a="1"/>
  <c r="D838" i="3" s="1"/>
  <c r="D839" i="3" a="1"/>
  <c r="D839" i="3"/>
  <c r="D840" i="3" a="1"/>
  <c r="D840" i="3" s="1"/>
  <c r="D841" i="3" a="1"/>
  <c r="D841" i="3" s="1"/>
  <c r="D842" i="3" a="1"/>
  <c r="D842" i="3" s="1"/>
  <c r="D843" i="3" a="1"/>
  <c r="D843" i="3" s="1"/>
  <c r="D844" i="3" a="1"/>
  <c r="D844" i="3" s="1"/>
  <c r="D845" i="3" a="1"/>
  <c r="D845" i="3" s="1"/>
  <c r="D846" i="3" a="1"/>
  <c r="D846" i="3" s="1"/>
  <c r="D847" i="3" a="1"/>
  <c r="D847" i="3"/>
  <c r="D848" i="3" a="1"/>
  <c r="D848" i="3" s="1"/>
  <c r="D849" i="3" a="1"/>
  <c r="D849" i="3" s="1"/>
  <c r="D850" i="3" a="1"/>
  <c r="D850" i="3" s="1"/>
  <c r="D851" i="3" a="1"/>
  <c r="D851" i="3"/>
  <c r="D852" i="3" a="1"/>
  <c r="D852" i="3" s="1"/>
  <c r="D853" i="3" a="1"/>
  <c r="D853" i="3" s="1"/>
  <c r="D854" i="3" a="1"/>
  <c r="D854" i="3" s="1"/>
  <c r="D855" i="3" a="1"/>
  <c r="D855" i="3"/>
  <c r="D856" i="3" a="1"/>
  <c r="D856" i="3" s="1"/>
  <c r="D857" i="3" a="1"/>
  <c r="D857" i="3" s="1"/>
  <c r="D858" i="3" a="1"/>
  <c r="D858" i="3" s="1"/>
  <c r="D859" i="3" a="1"/>
  <c r="D859" i="3" s="1"/>
  <c r="D860" i="3" a="1"/>
  <c r="D860" i="3" s="1"/>
  <c r="D861" i="3" a="1"/>
  <c r="D861" i="3" s="1"/>
  <c r="D862" i="3" a="1"/>
  <c r="D862" i="3" s="1"/>
  <c r="D863" i="3" a="1"/>
  <c r="D863" i="3"/>
  <c r="D864" i="3" a="1"/>
  <c r="D864" i="3" s="1"/>
  <c r="D865" i="3" a="1"/>
  <c r="D865" i="3" s="1"/>
  <c r="D866" i="3" a="1"/>
  <c r="D866" i="3" s="1"/>
  <c r="D867" i="3" a="1"/>
  <c r="D867" i="3"/>
  <c r="D868" i="3" a="1"/>
  <c r="D868" i="3" s="1"/>
  <c r="D869" i="3" a="1"/>
  <c r="D869" i="3" s="1"/>
  <c r="D870" i="3" a="1"/>
  <c r="D870" i="3" s="1"/>
  <c r="D871" i="3" a="1"/>
  <c r="D871" i="3"/>
  <c r="D872" i="3" a="1"/>
  <c r="D872" i="3" s="1"/>
  <c r="D873" i="3" a="1"/>
  <c r="D873" i="3" s="1"/>
  <c r="D874" i="3" a="1"/>
  <c r="D874" i="3" s="1"/>
  <c r="D875" i="3" a="1"/>
  <c r="D875" i="3"/>
  <c r="D876" i="3" a="1"/>
  <c r="D876" i="3" s="1"/>
  <c r="D877" i="3" a="1"/>
  <c r="D877" i="3" s="1"/>
  <c r="D878" i="3" a="1"/>
  <c r="D878" i="3" s="1"/>
  <c r="D879" i="3" a="1"/>
  <c r="D879" i="3"/>
  <c r="D880" i="3" a="1"/>
  <c r="D880" i="3" s="1"/>
  <c r="D881" i="3" a="1"/>
  <c r="D881" i="3" s="1"/>
  <c r="D882" i="3" a="1"/>
  <c r="D882" i="3" s="1"/>
  <c r="D883" i="3" a="1"/>
  <c r="D883" i="3"/>
  <c r="D884" i="3" a="1"/>
  <c r="D884" i="3" s="1"/>
  <c r="D885" i="3" a="1"/>
  <c r="D885" i="3" s="1"/>
  <c r="D886" i="3" a="1"/>
  <c r="D886" i="3" s="1"/>
  <c r="D887" i="3" a="1"/>
  <c r="D887" i="3"/>
  <c r="D888" i="3" a="1"/>
  <c r="D888" i="3" s="1"/>
  <c r="D889" i="3" a="1"/>
  <c r="D889" i="3"/>
  <c r="D890" i="3" a="1"/>
  <c r="D890" i="3" s="1"/>
  <c r="D891" i="3" a="1"/>
  <c r="D891" i="3"/>
  <c r="D892" i="3" a="1"/>
  <c r="D892" i="3" s="1"/>
  <c r="D893" i="3" a="1"/>
  <c r="D893" i="3" s="1"/>
  <c r="D894" i="3" a="1"/>
  <c r="D894" i="3" s="1"/>
  <c r="D895" i="3" a="1"/>
  <c r="D895" i="3"/>
  <c r="D896" i="3" a="1"/>
  <c r="D896" i="3" s="1"/>
  <c r="D897" i="3" a="1"/>
  <c r="D897" i="3"/>
  <c r="D898" i="3" a="1"/>
  <c r="D898" i="3" s="1"/>
  <c r="D899" i="3" a="1"/>
  <c r="D899" i="3" s="1"/>
  <c r="D900" i="3" a="1"/>
  <c r="D900" i="3" s="1"/>
  <c r="D901" i="3" a="1"/>
  <c r="D901" i="3" s="1"/>
  <c r="D902" i="3" a="1"/>
  <c r="D902" i="3" s="1"/>
  <c r="D903" i="3" a="1"/>
  <c r="D903" i="3"/>
  <c r="D904" i="3" a="1"/>
  <c r="D904" i="3" s="1"/>
  <c r="D905" i="3" a="1"/>
  <c r="D905" i="3"/>
  <c r="D906" i="3" a="1"/>
  <c r="D906" i="3" s="1"/>
  <c r="D907" i="3" a="1"/>
  <c r="D907" i="3" s="1"/>
  <c r="D908" i="3" a="1"/>
  <c r="D908" i="3" s="1"/>
  <c r="D909" i="3" a="1"/>
  <c r="D909" i="3" s="1"/>
  <c r="D910" i="3" a="1"/>
  <c r="D910" i="3" s="1"/>
  <c r="D911" i="3" a="1"/>
  <c r="D911" i="3"/>
  <c r="D912" i="3" a="1"/>
  <c r="D912" i="3" s="1"/>
  <c r="D913" i="3" a="1"/>
  <c r="D913" i="3"/>
  <c r="D914" i="3" a="1"/>
  <c r="D914" i="3" s="1"/>
  <c r="D915" i="3" a="1"/>
  <c r="D915" i="3" s="1"/>
  <c r="D916" i="3" a="1"/>
  <c r="D916" i="3" s="1"/>
  <c r="D917" i="3" a="1"/>
  <c r="D917" i="3" s="1"/>
  <c r="D918" i="3" a="1"/>
  <c r="D918" i="3" s="1"/>
  <c r="D919" i="3" a="1"/>
  <c r="D919" i="3"/>
  <c r="D920" i="3" a="1"/>
  <c r="D920" i="3" s="1"/>
  <c r="D921" i="3" a="1"/>
  <c r="D921" i="3"/>
  <c r="D922" i="3" a="1"/>
  <c r="D922" i="3" s="1"/>
  <c r="D923" i="3" a="1"/>
  <c r="D923" i="3" s="1"/>
  <c r="D924" i="3" a="1"/>
  <c r="D924" i="3" s="1"/>
  <c r="D925" i="3" a="1"/>
  <c r="D925" i="3" s="1"/>
  <c r="D926" i="3" a="1"/>
  <c r="D926" i="3" s="1"/>
  <c r="D927" i="3" a="1"/>
  <c r="D927" i="3"/>
  <c r="D928" i="3" a="1"/>
  <c r="D928" i="3" s="1"/>
  <c r="D929" i="3" a="1"/>
  <c r="D929" i="3"/>
  <c r="D930" i="3" a="1"/>
  <c r="D930" i="3" s="1"/>
  <c r="D931" i="3" a="1"/>
  <c r="D931" i="3" s="1"/>
  <c r="D932" i="3" a="1"/>
  <c r="D932" i="3" s="1"/>
  <c r="D933" i="3" a="1"/>
  <c r="D933" i="3" s="1"/>
  <c r="D934" i="3" a="1"/>
  <c r="D934" i="3" s="1"/>
  <c r="D935" i="3" a="1"/>
  <c r="D935" i="3"/>
  <c r="D936" i="3" a="1"/>
  <c r="D936" i="3" s="1"/>
  <c r="D937" i="3" a="1"/>
  <c r="D937" i="3"/>
  <c r="D938" i="3" a="1"/>
  <c r="D938" i="3" s="1"/>
  <c r="D939" i="3" a="1"/>
  <c r="D939" i="3"/>
  <c r="D940" i="3" a="1"/>
  <c r="D940" i="3" s="1"/>
  <c r="D941" i="3" a="1"/>
  <c r="D941" i="3" s="1"/>
  <c r="D942" i="3" a="1"/>
  <c r="D942" i="3" s="1"/>
  <c r="D943" i="3" a="1"/>
  <c r="D943" i="3"/>
  <c r="D944" i="3" a="1"/>
  <c r="D944" i="3" s="1"/>
  <c r="D945" i="3" a="1"/>
  <c r="D945" i="3" s="1"/>
  <c r="D946" i="3" a="1"/>
  <c r="D946" i="3" s="1"/>
  <c r="D947" i="3" a="1"/>
  <c r="D947" i="3" s="1"/>
  <c r="D948" i="3" a="1"/>
  <c r="D948" i="3" s="1"/>
  <c r="D949" i="3" a="1"/>
  <c r="D949" i="3" s="1"/>
  <c r="D950" i="3" a="1"/>
  <c r="D950" i="3" s="1"/>
  <c r="D951" i="3" a="1"/>
  <c r="D951" i="3" s="1"/>
  <c r="D952" i="3" a="1"/>
  <c r="D952" i="3" s="1"/>
  <c r="D953" i="3" a="1"/>
  <c r="D953" i="3" s="1"/>
  <c r="D954" i="3" a="1"/>
  <c r="D954" i="3" s="1"/>
  <c r="D955" i="3" a="1"/>
  <c r="D955" i="3" s="1"/>
  <c r="D956" i="3" a="1"/>
  <c r="D956" i="3" s="1"/>
  <c r="D957" i="3" a="1"/>
  <c r="D957" i="3" s="1"/>
  <c r="D958" i="3" a="1"/>
  <c r="D958" i="3" s="1"/>
  <c r="D959" i="3" a="1"/>
  <c r="D959" i="3" s="1"/>
  <c r="D960" i="3" a="1"/>
  <c r="D960" i="3" s="1"/>
  <c r="D961" i="3" a="1"/>
  <c r="D961" i="3" s="1"/>
  <c r="D962" i="3" a="1"/>
  <c r="D962" i="3" s="1"/>
  <c r="D963" i="3" a="1"/>
  <c r="D963" i="3" s="1"/>
  <c r="D964" i="3" a="1"/>
  <c r="D964" i="3" s="1"/>
  <c r="D965" i="3" a="1"/>
  <c r="D965" i="3" s="1"/>
  <c r="D966" i="3" a="1"/>
  <c r="D966" i="3" s="1"/>
  <c r="D967" i="3" a="1"/>
  <c r="D967" i="3" s="1"/>
  <c r="D968" i="3" a="1"/>
  <c r="D968" i="3" s="1"/>
  <c r="D969" i="3" a="1"/>
  <c r="D969" i="3" s="1"/>
  <c r="D970" i="3" a="1"/>
  <c r="D970" i="3" s="1"/>
  <c r="D971" i="3" a="1"/>
  <c r="D971" i="3" s="1"/>
  <c r="D972" i="3" a="1"/>
  <c r="D972" i="3" s="1"/>
  <c r="D973" i="3" a="1"/>
  <c r="D973" i="3" s="1"/>
  <c r="D974" i="3" a="1"/>
  <c r="D974" i="3" s="1"/>
  <c r="D975" i="3" a="1"/>
  <c r="D975" i="3" s="1"/>
  <c r="D976" i="3" a="1"/>
  <c r="D976" i="3" s="1"/>
  <c r="D977" i="3" a="1"/>
  <c r="D977" i="3" s="1"/>
  <c r="D978" i="3" a="1"/>
  <c r="D978" i="3" s="1"/>
  <c r="D979" i="3" a="1"/>
  <c r="D979" i="3" s="1"/>
  <c r="D980" i="3" a="1"/>
  <c r="D980" i="3" s="1"/>
  <c r="D981" i="3" a="1"/>
  <c r="D981" i="3" s="1"/>
  <c r="D982" i="3" a="1"/>
  <c r="D982" i="3" s="1"/>
  <c r="D983" i="3" a="1"/>
  <c r="D983" i="3" s="1"/>
  <c r="D984" i="3" a="1"/>
  <c r="D984" i="3" s="1"/>
  <c r="D985" i="3" a="1"/>
  <c r="D985" i="3" s="1"/>
  <c r="D986" i="3" a="1"/>
  <c r="D986" i="3" s="1"/>
  <c r="D987" i="3" a="1"/>
  <c r="D987" i="3" s="1"/>
  <c r="D988" i="3" a="1"/>
  <c r="D988" i="3" s="1"/>
  <c r="D989" i="3" a="1"/>
  <c r="D989" i="3" s="1"/>
  <c r="D990" i="3" a="1"/>
  <c r="D990" i="3" s="1"/>
  <c r="D991" i="3" a="1"/>
  <c r="D991" i="3" s="1"/>
  <c r="D992" i="3" a="1"/>
  <c r="D992" i="3" s="1"/>
  <c r="D993" i="3" a="1"/>
  <c r="D993" i="3" s="1"/>
  <c r="D994" i="3" a="1"/>
  <c r="D994" i="3" s="1"/>
  <c r="D995" i="3" a="1"/>
  <c r="D995" i="3" s="1"/>
  <c r="D996" i="3" a="1"/>
  <c r="D996" i="3" s="1"/>
  <c r="D997" i="3" a="1"/>
  <c r="D997" i="3" s="1"/>
  <c r="D998" i="3" a="1"/>
  <c r="D998" i="3" s="1"/>
  <c r="D999" i="3" a="1"/>
  <c r="D999" i="3" s="1"/>
  <c r="D1000" i="3" a="1"/>
  <c r="D1000" i="3" s="1"/>
  <c r="D5" i="3" a="1"/>
  <c r="D5" i="3" s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H12" i="1"/>
  <c r="B5" i="3"/>
  <c r="B18" i="1"/>
  <c r="H18" i="1"/>
  <c r="T12" i="1"/>
  <c r="B12" i="1"/>
  <c r="N12" i="1" l="1"/>
  <c r="N18" i="1"/>
  <c r="T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<sst xmlns="http://schemas.openxmlformats.org/spreadsheetml/2006/main" count="56" uniqueCount="47">
  <si>
    <t>INVESTOR MANAGEMENT SYSTEM</t>
  </si>
  <si>
    <t>Comprehensive Investor Portfolio &amp; ROI Tracking Dashboard</t>
  </si>
  <si>
    <t>📅 Select Month for ROI/Dividend Tracking:</t>
  </si>
  <si>
    <t>👥 Total Investors</t>
  </si>
  <si>
    <t>💰 Total Capital</t>
  </si>
  <si>
    <t>📈 Monthly ROI Total</t>
  </si>
  <si>
    <t>✅ Active Investors</t>
  </si>
  <si>
    <t>💳 Capital Paid</t>
  </si>
  <si>
    <t>⏳ Capital Pending</t>
  </si>
  <si>
    <t>✔️ Dividend Paid</t>
  </si>
  <si>
    <t>⏰ Dividend Pending</t>
  </si>
  <si>
    <t>💸 Total Refunds</t>
  </si>
  <si>
    <t>📊 CAPITAL DISTRIBUTION BY INVESTOR</t>
  </si>
  <si>
    <t>💹 ROI PERFORMANCE OVERVIEW</t>
  </si>
  <si>
    <t>COMPREHENSIVE INVESTOR RECORDS DATABASE</t>
  </si>
  <si>
    <t>Complete Investor Information &amp; Financial Tracking</t>
  </si>
  <si>
    <t>Investor Tally #</t>
  </si>
  <si>
    <t>Investor Name</t>
  </si>
  <si>
    <t>Investor Address</t>
  </si>
  <si>
    <t>Investment Capital (₦)</t>
  </si>
  <si>
    <t>Monthly ROI (₦)</t>
  </si>
  <si>
    <t>Date of Investment</t>
  </si>
  <si>
    <t>Bank Name</t>
  </si>
  <si>
    <t>Account Name</t>
  </si>
  <si>
    <t>Account Number</t>
  </si>
  <si>
    <t>Active/Inactive</t>
  </si>
  <si>
    <t>123 Investment Street, Lagos</t>
  </si>
  <si>
    <t>Active</t>
  </si>
  <si>
    <t>INVESTOR PAYMENT TRACKING SYSTEM</t>
  </si>
  <si>
    <t>Track Capital &amp; Dividend Payment History</t>
  </si>
  <si>
    <t>Tally #</t>
  </si>
  <si>
    <t>Payment Type</t>
  </si>
  <si>
    <t>Amount (₦)</t>
  </si>
  <si>
    <t>Payment Date</t>
  </si>
  <si>
    <t>Payment Method</t>
  </si>
  <si>
    <t>Reference #</t>
  </si>
  <si>
    <t>Status</t>
  </si>
  <si>
    <t>Dividend</t>
  </si>
  <si>
    <t>Bank Transfer</t>
  </si>
  <si>
    <t>hiaiwjns8892u3793</t>
  </si>
  <si>
    <t>Completed</t>
  </si>
  <si>
    <t>Sample 2</t>
  </si>
  <si>
    <t>Sample 1</t>
  </si>
  <si>
    <t>Refund</t>
  </si>
  <si>
    <t>hiaiwjns8892u3746</t>
  </si>
  <si>
    <t>Sample 3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</si>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</sst>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₦&quot;#,##0.00"/>
    <numFmt numFmtId="165" formatCode="dd/mm/yyyy"/>
  </numFmts>
  <fonts count="20" x14ac:knownFonts="1">
    <font>
      <sz val="11"/>
      <color theme="1"/>
      <name val="Calibri"/>
      <family val="2"/>
      <scheme val="minor"/>
    </font>
    <font>
      <b/>
      <sz val="28"/>
      <color rgb="FFFFFFFF"/>
      <name val="Calibri"/>
      <family val="2"/>
    </font>
    <font>
      <i/>
      <sz val="13"/>
      <color rgb="FF475569"/>
      <name val="Calibri"/>
      <family val="2"/>
    </font>
    <font>
      <b/>
      <sz val="11"/>
      <color rgb="FF475569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6"/>
      <color rgb="FF6366F1"/>
      <name val="Calibri"/>
      <family val="2"/>
    </font>
    <font>
      <b/>
      <sz val="16"/>
      <color rgb="FF10B981"/>
      <name val="Calibri"/>
      <family val="2"/>
    </font>
    <font>
      <b/>
      <sz val="16"/>
      <color rgb="FFF59E0B"/>
      <name val="Calibri"/>
      <family val="2"/>
    </font>
    <font>
      <b/>
      <sz val="16"/>
      <color rgb="FF0EA5E9"/>
      <name val="Calibri"/>
      <family val="2"/>
    </font>
    <font>
      <b/>
      <sz val="16"/>
      <color rgb="FF8B5CF6"/>
      <name val="Calibri"/>
      <family val="2"/>
    </font>
    <font>
      <b/>
      <sz val="16"/>
      <color rgb="FFF97316"/>
      <name val="Calibri"/>
      <family val="2"/>
    </font>
    <font>
      <b/>
      <sz val="16"/>
      <color rgb="FFF43F5E"/>
      <name val="Calibri"/>
      <family val="2"/>
    </font>
    <font>
      <b/>
      <sz val="16"/>
      <color rgb="FF14B8A6"/>
      <name val="Calibri"/>
      <family val="2"/>
    </font>
    <font>
      <b/>
      <sz val="18"/>
      <color rgb="FFFFFFFF"/>
      <name val="Calibri"/>
      <family val="2"/>
    </font>
    <font>
      <i/>
      <sz val="11"/>
      <color rgb="FF475569"/>
      <name val="Calibri"/>
      <family val="2"/>
    </font>
    <font>
      <b/>
      <sz val="11"/>
      <color rgb="FFFFFFFF"/>
      <name val="Calibri"/>
      <family val="2"/>
    </font>
    <font>
      <b/>
      <sz val="11"/>
      <color rgb="FF2563EB"/>
      <name val="Calibri"/>
      <family val="2"/>
    </font>
    <font>
      <b/>
      <sz val="11"/>
      <color rgb="FF10B981"/>
      <name val="Calibri"/>
      <family val="2"/>
    </font>
    <font>
      <b/>
      <sz val="11"/>
      <color rgb="FFF59E0B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gradientFill>
        <stop position="0">
          <color rgb="FF1E3A8A"/>
        </stop>
        <stop position="0.5">
          <color rgb="FF2563EB"/>
        </stop>
        <stop position="1">
          <color rgb="FF0EA5E9"/>
        </stop>
      </gradientFill>
    </fill>
    <fill>
      <gradientFill>
        <stop position="0">
          <color rgb="FF10B981"/>
        </stop>
        <stop position="1">
          <color rgb="FF84CC16"/>
        </stop>
      </gradientFill>
    </fill>
    <fill>
      <patternFill patternType="solid">
        <fgColor rgb="FFC4B5FD"/>
      </patternFill>
    </fill>
    <fill>
      <gradientFill>
        <stop position="0">
          <color rgb="FF6366F1"/>
        </stop>
        <stop position="1">
          <color rgb="FF8B5CF6"/>
        </stop>
      </gradientFill>
    </fill>
    <fill>
      <patternFill patternType="solid">
        <fgColor rgb="FF6366F1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0EA5E9"/>
      </patternFill>
    </fill>
    <fill>
      <patternFill patternType="solid">
        <fgColor rgb="FF8B5CF6"/>
      </patternFill>
    </fill>
    <fill>
      <patternFill patternType="solid">
        <fgColor rgb="FFF97316"/>
      </patternFill>
    </fill>
    <fill>
      <patternFill patternType="solid">
        <fgColor rgb="FFF43F5E"/>
      </patternFill>
    </fill>
    <fill>
      <patternFill patternType="solid">
        <fgColor rgb="FF14B8A6"/>
      </patternFill>
    </fill>
    <fill>
      <gradientFill>
        <stop position="0">
          <color rgb="FF1E3A8A"/>
        </stop>
        <stop position="1">
          <color rgb="FF2563EB"/>
        </stop>
      </gradientFill>
    </fill>
    <fill>
      <gradientFill>
        <stop position="0">
          <color rgb="FF0EA5E9"/>
        </stop>
        <stop position="1">
          <color rgb="FF6366F1"/>
        </stop>
      </gradientFill>
    </fill>
    <fill>
      <gradientFill>
        <stop position="0">
          <color rgb="FF8B5CF6"/>
        </stop>
        <stop position="1">
          <color rgb="FFEC4899"/>
        </stop>
      </gradientFill>
    </fill>
    <fill>
      <gradientFill>
        <stop position="0">
          <color rgb="FFF97316"/>
        </stop>
        <stop position="1">
          <color rgb="FFF59E0B"/>
        </stop>
      </gradient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</fills>
  <borders count="10">
    <border>
      <left/>
      <right/>
      <top/>
      <bottom/>
      <diagonal/>
    </border>
    <border>
      <left style="medium">
        <color rgb="FF6366F1"/>
      </left>
      <right style="medium">
        <color rgb="FF6366F1"/>
      </right>
      <top style="medium">
        <color rgb="FF6366F1"/>
      </top>
      <bottom style="medium">
        <color rgb="FF6366F1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0EA5E9"/>
      </left>
      <right style="medium">
        <color rgb="FF0EA5E9"/>
      </right>
      <top style="medium">
        <color rgb="FF0EA5E9"/>
      </top>
      <bottom style="medium">
        <color rgb="FF0EA5E9"/>
      </bottom>
      <diagonal/>
    </border>
    <border>
      <left style="medium">
        <color rgb="FF8B5CF6"/>
      </left>
      <right style="medium">
        <color rgb="FF8B5CF6"/>
      </right>
      <top style="medium">
        <color rgb="FF8B5CF6"/>
      </top>
      <bottom style="medium">
        <color rgb="FF8B5CF6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 style="medium">
        <color rgb="FFF43F5E"/>
      </left>
      <right style="medium">
        <color rgb="FFF43F5E"/>
      </right>
      <top style="medium">
        <color rgb="FFF43F5E"/>
      </top>
      <bottom style="medium">
        <color rgb="FFF43F5E"/>
      </bottom>
      <diagonal/>
    </border>
    <border>
      <left style="medium">
        <color rgb="FF14B8A6"/>
      </left>
      <right style="medium">
        <color rgb="FF14B8A6"/>
      </right>
      <top style="medium">
        <color rgb="FF14B8A6"/>
      </top>
      <bottom style="medium">
        <color rgb="FF14B8A6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3" borderId="0" xfId="0" applyFill="1"/>
    <xf numFmtId="0" fontId="4" fillId="8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0" fillId="2" borderId="0" xfId="0" applyFill="1"/>
    <xf numFmtId="0" fontId="16" fillId="18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 applyProtection="1">
      <alignment horizontal="left" vertical="center"/>
      <protection locked="0"/>
    </xf>
    <xf numFmtId="1" fontId="17" fillId="0" borderId="9" xfId="0" applyNumberFormat="1" applyFont="1" applyBorder="1" applyProtection="1">
      <protection locked="0"/>
    </xf>
    <xf numFmtId="0" fontId="0" fillId="0" borderId="9" xfId="0" applyBorder="1" applyProtection="1">
      <protection locked="0"/>
    </xf>
    <xf numFmtId="164" fontId="18" fillId="0" borderId="9" xfId="0" applyNumberFormat="1" applyFont="1" applyBorder="1" applyProtection="1">
      <protection locked="0"/>
    </xf>
    <xf numFmtId="164" fontId="19" fillId="0" borderId="9" xfId="0" applyNumberFormat="1" applyFont="1" applyBorder="1" applyProtection="1">
      <protection locked="0"/>
    </xf>
    <xf numFmtId="165" fontId="0" fillId="0" borderId="9" xfId="0" applyNumberFormat="1" applyBorder="1" applyProtection="1">
      <protection locked="0"/>
    </xf>
    <xf numFmtId="0" fontId="16" fillId="20" borderId="0" xfId="0" applyFont="1" applyFill="1" applyAlignment="1">
      <alignment horizontal="center" vertical="center"/>
    </xf>
    <xf numFmtId="0" fontId="17" fillId="0" borderId="0" xfId="0" applyFont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/>
    <xf numFmtId="164" fontId="18" fillId="0" borderId="0" xfId="0" applyNumberFormat="1" applyFont="1" applyProtection="1"/>
    <xf numFmtId="0" fontId="0" fillId="0" borderId="0" xfId="0" applyAlignment="1"/>
    <xf numFmtId="0" fontId="1" fillId="5" borderId="0" xfId="0" applyFont="1" applyFill="1" applyAlignment="1">
      <alignment horizontal="center" vertical="center"/>
    </xf>
    <xf numFmtId="0" fontId="0" fillId="0" borderId="0" xfId="0"/>
    <xf numFmtId="3" fontId="13" fillId="3" borderId="8" xfId="0" applyNumberFormat="1" applyFont="1" applyFill="1" applyBorder="1" applyAlignment="1">
      <alignment horizontal="center" vertical="center"/>
    </xf>
    <xf numFmtId="0" fontId="0" fillId="0" borderId="8" xfId="0" applyBorder="1"/>
    <xf numFmtId="3" fontId="11" fillId="3" borderId="6" xfId="0" applyNumberFormat="1" applyFont="1" applyFill="1" applyBorder="1" applyAlignment="1">
      <alignment horizontal="center" vertical="center"/>
    </xf>
    <xf numFmtId="0" fontId="0" fillId="0" borderId="6" xfId="0" applyBorder="1"/>
    <xf numFmtId="164" fontId="7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4" fillId="22" borderId="0" xfId="0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3" fontId="10" fillId="3" borderId="5" xfId="0" applyNumberFormat="1" applyFont="1" applyFill="1" applyBorder="1" applyAlignment="1">
      <alignment horizontal="center" vertical="center"/>
    </xf>
    <xf numFmtId="0" fontId="0" fillId="0" borderId="5" xfId="0" applyBorder="1"/>
    <xf numFmtId="0" fontId="5" fillId="15" borderId="7" xfId="0" applyFont="1" applyFill="1" applyBorder="1" applyAlignment="1">
      <alignment horizontal="center" vertical="center"/>
    </xf>
    <xf numFmtId="0" fontId="0" fillId="0" borderId="7" xfId="0" applyBorder="1"/>
    <xf numFmtId="3" fontId="7" fillId="3" borderId="2" xfId="0" applyNumberFormat="1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0" fillId="0" borderId="3" xfId="0" applyBorder="1"/>
    <xf numFmtId="3" fontId="9" fillId="3" borderId="4" xfId="0" applyNumberFormat="1" applyFont="1" applyFill="1" applyBorder="1" applyAlignment="1">
      <alignment horizontal="center" vertical="center"/>
    </xf>
    <xf numFmtId="0" fontId="0" fillId="0" borderId="4" xfId="0" applyBorder="1"/>
    <xf numFmtId="0" fontId="5" fillId="13" borderId="5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/>
    <xf numFmtId="3" fontId="12" fillId="3" borderId="7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/>
    </xf>
    <xf numFmtId="0" fontId="14" fillId="19" borderId="0" xfId="0" applyFont="1" applyFill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11">
    <dxf>
      <font>
        <b/>
        <color rgb="FF9C0006"/>
      </font>
      <fill>
        <patternFill>
          <fgColor rgb="FFFFC7CE"/>
          <bgColor rgb="FFFFC7CE"/>
        </patternFill>
      </fill>
    </dxf>
    <dxf>
      <font>
        <b/>
        <color rgb="FF9C6500"/>
      </font>
      <fill>
        <patternFill>
          <fgColor rgb="FFFFEB9C"/>
          <bgColor rgb="FFFFEB9C"/>
        </patternFill>
      </fill>
    </dxf>
    <dxf>
      <font>
        <b/>
        <color rgb="FF006100"/>
      </font>
      <fill>
        <patternFill>
          <fgColor rgb="FFC6EFCE"/>
          <bgColor rgb="FFC6EFCE"/>
        </patternFill>
      </fill>
    </dxf>
    <dxf>
      <font>
        <b/>
        <color rgb="FF9C0006"/>
      </font>
      <fill>
        <patternFill>
          <fgColor rgb="FFFFC7CE"/>
          <bgColor rgb="FFFFC7CE"/>
        </patternFill>
      </fill>
    </dxf>
    <dxf>
      <font>
        <b/>
        <color rgb="FF006100"/>
      </font>
      <fill>
        <patternFill>
          <fgColor rgb="FFC6EFCE"/>
          <bgColor rgb="FFC6EFCE"/>
        </patternFill>
      </fill>
    </dxf>
    <dxf>
      <font>
        <b/>
        <color rgb="FF9C0006"/>
      </font>
      <fill>
        <patternFill>
          <fgColor rgb="FFFFC7CE"/>
          <bgColor rgb="FFFFC7CE"/>
        </patternFill>
      </fill>
    </dxf>
    <dxf>
      <font>
        <b/>
        <color rgb="FF9C6500"/>
      </font>
      <fill>
        <patternFill>
          <fgColor rgb="FFFFEB9C"/>
          <bgColor rgb="FFFFEB9C"/>
        </patternFill>
      </fill>
    </dxf>
    <dxf>
      <font>
        <b/>
        <color rgb="FF006100"/>
      </font>
      <fill>
        <patternFill>
          <fgColor rgb="FFC6EFCE"/>
          <bgColor rgb="FFC6EFCE"/>
        </patternFill>
      </fill>
    </dxf>
    <dxf>
      <font>
        <b/>
        <color rgb="FF9C0006"/>
      </font>
      <fill>
        <patternFill>
          <fgColor rgb="FFFFC7CE"/>
          <bgColor rgb="FFFFC7CE"/>
        </patternFill>
      </fill>
    </dxf>
    <dxf>
      <font>
        <b/>
        <color rgb="FF9C6500"/>
      </font>
      <fill>
        <patternFill>
          <fgColor rgb="FFFFEB9C"/>
          <bgColor rgb="FFFFEB9C"/>
        </patternFill>
      </fill>
    </dxf>
    <dxf>
      <font>
        <b/>
        <color rgb="FF006100"/>
      </font>
      <fill>
        <patternFill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Investment Capital by Investor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'Investor Records'!$D$4</c:f>
              <c:strCache>
                <c:ptCount val="1"/>
                <c:pt idx="0">
                  <c:v>Investment Capital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'Investor Records'!$B$5:$B$13</c:f>
              <c:strCache>
                <c:ptCount val="3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</c:strCache>
            </c:strRef>
          </c:cat>
          <c:val>
            <c:numRef>
              <c:f>'Investor Records'!$D$5:$D$13</c:f>
              <c:numCache>
                <c:formatCode>"₦"#,##0.00</c:formatCode>
                <c:ptCount val="9"/>
                <c:pt idx="0">
                  <c:v>500000</c:v>
                </c:pt>
                <c:pt idx="1">
                  <c:v>500000</c:v>
                </c:pt>
                <c:pt idx="2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D-4650-BD72-CCD3B2584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Investors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Capital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tx2">
        <a:lumMod val="60000"/>
        <a:lumOff val="40000"/>
      </a:schemeClr>
    </a:solidFill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Monthly ROI by Investor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'Investor Records'!$E$4</c:f>
              <c:strCache>
                <c:ptCount val="1"/>
                <c:pt idx="0">
                  <c:v>Monthly ROI (₦)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'Investor Records'!$B$5:$B$13</c:f>
              <c:strCache>
                <c:ptCount val="3"/>
                <c:pt idx="0">
                  <c:v>Sample 1</c:v>
                </c:pt>
                <c:pt idx="1">
                  <c:v>Sample 2</c:v>
                </c:pt>
                <c:pt idx="2">
                  <c:v>Sample 3</c:v>
                </c:pt>
              </c:strCache>
            </c:strRef>
          </c:cat>
          <c:val>
            <c:numRef>
              <c:f>'Investor Records'!$E$5:$E$13</c:f>
              <c:numCache>
                <c:formatCode>"₦"#,##0.00</c:formatCode>
                <c:ptCount val="9"/>
                <c:pt idx="0">
                  <c:v>60000</c:v>
                </c:pt>
                <c:pt idx="1">
                  <c:v>50000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0-4910-8322-1388A01DB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Investors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accent2"/>
    </a:solidFill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15240</xdr:colOff>
      <xdr:row>1</xdr:row>
      <xdr:rowOff>7620</xdr:rowOff>
    </xdr:from>
    <xdr:ext cx="5593080" cy="2225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53340</xdr:colOff>
      <xdr:row>14</xdr:row>
      <xdr:rowOff>30480</xdr:rowOff>
    </xdr:from>
    <xdr:ext cx="5554980" cy="228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storTable" displayName="InvestorTable" ref="A4:J999">
  <autoFilter ref="A4:J999" xr:uid="{00000000-0009-0000-0100-000001000000}"/>
  <tableColumns count="10">
    <tableColumn id="1" xr3:uid="{00000000-0010-0000-0000-000001000000}" name="Investor Tally #"/>
    <tableColumn id="2" xr3:uid="{00000000-0010-0000-0000-000002000000}" name="Investor Name"/>
    <tableColumn id="3" xr3:uid="{00000000-0010-0000-0000-000003000000}" name="Investor Address"/>
    <tableColumn id="4" xr3:uid="{00000000-0010-0000-0000-000004000000}" name="Investment Capital (₦)"/>
    <tableColumn id="5" xr3:uid="{00000000-0010-0000-0000-000005000000}" name="Monthly ROI (₦)"/>
    <tableColumn id="6" xr3:uid="{00000000-0010-0000-0000-000006000000}" name="Date of Investment"/>
    <tableColumn id="7" xr3:uid="{00000000-0010-0000-0000-000007000000}" name="Bank Name"/>
    <tableColumn id="8" xr3:uid="{00000000-0010-0000-0000-000008000000}" name="Account Name"/>
    <tableColumn id="9" xr3:uid="{00000000-0010-0000-0000-000009000000}" name="Account Number"/>
    <tableColumn id="12" xr3:uid="{00000000-0010-0000-0000-00000C000000}" name="Active/Inac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K59"/>
  <sheetViews>
    <sheetView workbookViewId="0">
      <selection activeCell="F8" sqref="F8"/>
    </sheetView>
  </sheetViews>
  <sheetFormatPr defaultRowHeight="14.4" x14ac:dyDescent="0.3"/>
  <cols>
    <col min="1" max="5" width="5" customWidth="1"/>
    <col min="6" max="6" width="10.44140625" bestFit="1" customWidth="1"/>
    <col min="7" max="24" width="5" customWidth="1"/>
    <col min="25" max="25" width="0.44140625" customWidth="1"/>
  </cols>
  <sheetData>
    <row r="1" spans="1:37" ht="15.6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8" t="s">
        <v>12</v>
      </c>
      <c r="AA1" s="28"/>
      <c r="AB1" s="28"/>
      <c r="AC1" s="28"/>
      <c r="AD1" s="28"/>
      <c r="AE1" s="28"/>
      <c r="AF1" s="28"/>
      <c r="AG1" s="28"/>
      <c r="AH1" s="28"/>
      <c r="AI1" s="18"/>
      <c r="AJ1" s="18"/>
      <c r="AK1" s="18"/>
    </row>
    <row r="2" spans="1:37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7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7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7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7" x14ac:dyDescent="0.3">
      <c r="A6" s="2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7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7" ht="15.6" x14ac:dyDescent="0.3">
      <c r="A8" s="1"/>
      <c r="B8" s="43" t="s">
        <v>2</v>
      </c>
      <c r="C8" s="20"/>
      <c r="D8" s="20"/>
      <c r="E8" s="20"/>
      <c r="F8" s="2" t="s">
        <v>46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7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7" x14ac:dyDescent="0.3">
      <c r="A10" s="4"/>
      <c r="B10" s="44" t="s">
        <v>3</v>
      </c>
      <c r="C10" s="45"/>
      <c r="D10" s="45"/>
      <c r="E10" s="45"/>
      <c r="F10" s="45"/>
      <c r="G10" s="4"/>
      <c r="H10" s="41" t="s">
        <v>4</v>
      </c>
      <c r="I10" s="26"/>
      <c r="J10" s="26"/>
      <c r="K10" s="26"/>
      <c r="L10" s="26"/>
      <c r="M10" s="4"/>
      <c r="N10" s="47" t="s">
        <v>5</v>
      </c>
      <c r="O10" s="37"/>
      <c r="P10" s="37"/>
      <c r="Q10" s="37"/>
      <c r="R10" s="37"/>
      <c r="S10" s="4"/>
      <c r="T10" s="42" t="s">
        <v>6</v>
      </c>
      <c r="U10" s="39"/>
      <c r="V10" s="39"/>
      <c r="W10" s="39"/>
      <c r="X10" s="39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7" x14ac:dyDescent="0.3">
      <c r="A11" s="1"/>
      <c r="B11" s="45"/>
      <c r="C11" s="45"/>
      <c r="D11" s="45"/>
      <c r="E11" s="45"/>
      <c r="F11" s="45"/>
      <c r="G11" s="1"/>
      <c r="H11" s="26"/>
      <c r="I11" s="26"/>
      <c r="J11" s="26"/>
      <c r="K11" s="26"/>
      <c r="L11" s="26"/>
      <c r="M11" s="1"/>
      <c r="N11" s="37"/>
      <c r="O11" s="37"/>
      <c r="P11" s="37"/>
      <c r="Q11" s="37"/>
      <c r="R11" s="37"/>
      <c r="S11" s="1"/>
      <c r="T11" s="39"/>
      <c r="U11" s="39"/>
      <c r="V11" s="39"/>
      <c r="W11" s="39"/>
      <c r="X11" s="39"/>
      <c r="Y11" s="1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7" x14ac:dyDescent="0.3">
      <c r="A12" s="3"/>
      <c r="B12" s="49">
        <f>COUNTA('Investor Records'!B5:B999)</f>
        <v>3</v>
      </c>
      <c r="C12" s="45"/>
      <c r="D12" s="45"/>
      <c r="E12" s="45"/>
      <c r="F12" s="45"/>
      <c r="G12" s="3"/>
      <c r="H12" s="25">
        <f>SUMIFS('Payment Tracker'!D:D,'Payment Tracker'!C:C,"Capital",'Payment Tracker'!H:H,"Completed",'Investor Records'!J:J,"Active")</f>
        <v>0</v>
      </c>
      <c r="I12" s="26"/>
      <c r="J12" s="26"/>
      <c r="K12" s="26"/>
      <c r="L12" s="26"/>
      <c r="M12" s="3"/>
      <c r="N12" s="36">
        <f ca="1">SUMIFS('Payment Tracker'!$D:$D,'Payment Tracker'!$C:$C,"Dividend",'Payment Tracker'!$H:$H,"Completed",'Payment Tracker'!$E:$E,"&gt;="&amp;DATE(YEAR(TODAY()),MATCH($F$8,{"January","February","March","April","May","June","July","August","September","October","November","December"},0),1),'Payment Tracker'!$E:$E,"&lt;"&amp;DATE(YEAR(TODAY()),MATCH($F$8,{"January","February","March","April","May","June","July","August","September","October","November","December"},0)+1,1))</f>
        <v>50000</v>
      </c>
      <c r="O12" s="37"/>
      <c r="P12" s="37"/>
      <c r="Q12" s="37"/>
      <c r="R12" s="37"/>
      <c r="S12" s="3"/>
      <c r="T12" s="38">
        <f>COUNTIF('Investor Records'!J5:J999,"Active")</f>
        <v>3</v>
      </c>
      <c r="U12" s="39"/>
      <c r="V12" s="39"/>
      <c r="W12" s="39"/>
      <c r="X12" s="39"/>
      <c r="Y12" s="3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7" x14ac:dyDescent="0.3">
      <c r="A13" s="4"/>
      <c r="B13" s="45"/>
      <c r="C13" s="45"/>
      <c r="D13" s="45"/>
      <c r="E13" s="45"/>
      <c r="F13" s="45"/>
      <c r="G13" s="4"/>
      <c r="H13" s="26"/>
      <c r="I13" s="26"/>
      <c r="J13" s="26"/>
      <c r="K13" s="26"/>
      <c r="L13" s="26"/>
      <c r="M13" s="4"/>
      <c r="N13" s="37"/>
      <c r="O13" s="37"/>
      <c r="P13" s="37"/>
      <c r="Q13" s="37"/>
      <c r="R13" s="37"/>
      <c r="S13" s="4"/>
      <c r="T13" s="39"/>
      <c r="U13" s="39"/>
      <c r="V13" s="39"/>
      <c r="W13" s="39"/>
      <c r="X13" s="39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7" ht="15.6" x14ac:dyDescent="0.3">
      <c r="A14" s="1"/>
      <c r="B14" s="45"/>
      <c r="C14" s="45"/>
      <c r="D14" s="45"/>
      <c r="E14" s="45"/>
      <c r="F14" s="45"/>
      <c r="G14" s="1"/>
      <c r="H14" s="26"/>
      <c r="I14" s="26"/>
      <c r="J14" s="26"/>
      <c r="K14" s="26"/>
      <c r="L14" s="26"/>
      <c r="M14" s="1"/>
      <c r="N14" s="37"/>
      <c r="O14" s="37"/>
      <c r="P14" s="37"/>
      <c r="Q14" s="37"/>
      <c r="R14" s="37"/>
      <c r="S14" s="1"/>
      <c r="T14" s="39"/>
      <c r="U14" s="39"/>
      <c r="V14" s="39"/>
      <c r="W14" s="39"/>
      <c r="X14" s="39"/>
      <c r="Y14" s="1"/>
      <c r="Z14" s="27" t="s">
        <v>13</v>
      </c>
      <c r="AA14" s="27"/>
      <c r="AB14" s="27"/>
      <c r="AC14" s="27"/>
      <c r="AD14" s="27"/>
      <c r="AE14" s="27"/>
      <c r="AF14" s="27"/>
      <c r="AG14" s="27"/>
      <c r="AH14" s="27"/>
      <c r="AI14" s="18"/>
      <c r="AJ14" s="18"/>
    </row>
    <row r="15" spans="1:37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37" x14ac:dyDescent="0.3">
      <c r="A16" s="4"/>
      <c r="B16" s="40" t="s">
        <v>7</v>
      </c>
      <c r="C16" s="31"/>
      <c r="D16" s="31"/>
      <c r="E16" s="31"/>
      <c r="F16" s="31"/>
      <c r="G16" s="4"/>
      <c r="H16" s="48" t="s">
        <v>8</v>
      </c>
      <c r="I16" s="24"/>
      <c r="J16" s="24"/>
      <c r="K16" s="24"/>
      <c r="L16" s="24"/>
      <c r="M16" s="4"/>
      <c r="N16" s="41" t="s">
        <v>9</v>
      </c>
      <c r="O16" s="26"/>
      <c r="P16" s="26"/>
      <c r="Q16" s="26"/>
      <c r="R16" s="26"/>
      <c r="S16" s="4"/>
      <c r="T16" s="32" t="s">
        <v>10</v>
      </c>
      <c r="U16" s="33"/>
      <c r="V16" s="33"/>
      <c r="W16" s="33"/>
      <c r="X16" s="33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3">
      <c r="A17" s="1"/>
      <c r="B17" s="31"/>
      <c r="C17" s="31"/>
      <c r="D17" s="31"/>
      <c r="E17" s="31"/>
      <c r="F17" s="31"/>
      <c r="G17" s="1"/>
      <c r="H17" s="24"/>
      <c r="I17" s="24"/>
      <c r="J17" s="24"/>
      <c r="K17" s="24"/>
      <c r="L17" s="24"/>
      <c r="M17" s="1"/>
      <c r="N17" s="26"/>
      <c r="O17" s="26"/>
      <c r="P17" s="26"/>
      <c r="Q17" s="26"/>
      <c r="R17" s="26"/>
      <c r="S17" s="1"/>
      <c r="T17" s="33"/>
      <c r="U17" s="33"/>
      <c r="V17" s="33"/>
      <c r="W17" s="33"/>
      <c r="X17" s="33"/>
      <c r="Y17" s="1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">
      <c r="A18" s="3"/>
      <c r="B18" s="30">
        <f>SUMPRODUCT(('Payment Tracker'!$C$5:$C$1000="Capital")*('Payment Tracker'!$H$5:$H$1000="Completed")*('Payment Tracker'!$A$5:$A$1000&lt;&gt;"")*COUNTIFS('Investor Records'!$A$5:$A$999,'Payment Tracker'!$A$5:$A$1000,'Investor Records'!$J$5:$J$999,"Active"))</f>
        <v>0</v>
      </c>
      <c r="C18" s="31"/>
      <c r="D18" s="31"/>
      <c r="E18" s="31"/>
      <c r="F18" s="31"/>
      <c r="G18" s="3"/>
      <c r="H18" s="23">
        <f>SUMPRODUCT(('Payment Tracker'!$C$5:$C$1000="Capital")*('Payment Tracker'!$H$5:$H$1000="Pending")*('Payment Tracker'!$A$5:$A$1000&lt;&gt;"")*COUNTIFS('Investor Records'!$A$5:$A$999,'Payment Tracker'!$A$5:$A$1000,'Investor Records'!$J$5:$J$999,"Active"))</f>
        <v>0</v>
      </c>
      <c r="I18" s="24"/>
      <c r="J18" s="24"/>
      <c r="K18" s="24"/>
      <c r="L18" s="24"/>
      <c r="M18" s="3"/>
      <c r="N18" s="34">
        <f>SUMPRODUCT(('Payment Tracker'!$C$5:$C$1000="Dividend")*('Payment Tracker'!$H$5:$H$1000="Completed")*(MONTH('Payment Tracker'!$E$5:$E$1000)=MATCH($F$8,{"January","February","March","April","May","June","July","August","September","October","November","December"},0))*('Payment Tracker'!$A$5:$A$1000&lt;&gt;"")*COUNTIFS('Investor Records'!$A$5:$A$999,'Payment Tracker'!$A$5:$A$1000,'Investor Records'!$J$5:$J$999,"Active"))</f>
        <v>1</v>
      </c>
      <c r="O18" s="26"/>
      <c r="P18" s="26"/>
      <c r="Q18" s="26"/>
      <c r="R18" s="26"/>
      <c r="S18" s="3"/>
      <c r="T18" s="46">
        <f>SUMPRODUCT(('Payment Tracker'!$C$5:$C$1000="Dividend")*('Payment Tracker'!$H$5:$H$1000="Pending")*(MONTH('Payment Tracker'!$E$5:$E$1000)=MATCH($F$8,{"January","February","March","April","May","June","July","August","September","October","November","December"},0))*('Payment Tracker'!$A$5:$A$1000&lt;&gt;"")*COUNTIFS('Investor Records'!$A$5:$A$999,'Payment Tracker'!$A$5:$A$1000,'Investor Records'!$J$5:$J$999,"Active"))</f>
        <v>0</v>
      </c>
      <c r="U18" s="33"/>
      <c r="V18" s="33"/>
      <c r="W18" s="33"/>
      <c r="X18" s="33"/>
      <c r="Y18" s="3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3">
      <c r="A19" s="4"/>
      <c r="B19" s="31"/>
      <c r="C19" s="31"/>
      <c r="D19" s="31"/>
      <c r="E19" s="31"/>
      <c r="F19" s="31"/>
      <c r="G19" s="4"/>
      <c r="H19" s="24"/>
      <c r="I19" s="24"/>
      <c r="J19" s="24"/>
      <c r="K19" s="24"/>
      <c r="L19" s="24"/>
      <c r="M19" s="4"/>
      <c r="N19" s="26"/>
      <c r="O19" s="26"/>
      <c r="P19" s="26"/>
      <c r="Q19" s="26"/>
      <c r="R19" s="26"/>
      <c r="S19" s="4"/>
      <c r="T19" s="33"/>
      <c r="U19" s="33"/>
      <c r="V19" s="33"/>
      <c r="W19" s="33"/>
      <c r="X19" s="33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3">
      <c r="A20" s="1"/>
      <c r="B20" s="31"/>
      <c r="C20" s="31"/>
      <c r="D20" s="31"/>
      <c r="E20" s="31"/>
      <c r="F20" s="31"/>
      <c r="G20" s="1"/>
      <c r="H20" s="24"/>
      <c r="I20" s="24"/>
      <c r="J20" s="24"/>
      <c r="K20" s="24"/>
      <c r="L20" s="24"/>
      <c r="M20" s="1"/>
      <c r="N20" s="26"/>
      <c r="O20" s="26"/>
      <c r="P20" s="26"/>
      <c r="Q20" s="26"/>
      <c r="R20" s="26"/>
      <c r="S20" s="1"/>
      <c r="T20" s="33"/>
      <c r="U20" s="33"/>
      <c r="V20" s="33"/>
      <c r="W20" s="33"/>
      <c r="X20" s="33"/>
      <c r="Y20" s="1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3">
      <c r="A22" s="4"/>
      <c r="B22" s="35" t="s">
        <v>11</v>
      </c>
      <c r="C22" s="22"/>
      <c r="D22" s="22"/>
      <c r="E22" s="22"/>
      <c r="F22" s="2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x14ac:dyDescent="0.3">
      <c r="A23" s="1"/>
      <c r="B23" s="22"/>
      <c r="C23" s="22"/>
      <c r="D23" s="22"/>
      <c r="E23" s="22"/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">
      <c r="A24" s="3"/>
      <c r="B24" s="21">
        <f>SUMIFS('Payment Tracker'!D:D,'Payment Tracker'!C:C,"Refund",'Payment Tracker'!H:H,"Completed")</f>
        <v>1000000</v>
      </c>
      <c r="C24" s="22"/>
      <c r="D24" s="22"/>
      <c r="E24" s="22"/>
      <c r="F24" s="2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3">
      <c r="A25" s="4"/>
      <c r="B25" s="22"/>
      <c r="C25" s="22"/>
      <c r="D25" s="22"/>
      <c r="E25" s="22"/>
      <c r="F25" s="2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3">
      <c r="A26" s="1"/>
      <c r="B26" s="22"/>
      <c r="C26" s="22"/>
      <c r="D26" s="22"/>
      <c r="E26" s="22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3">
      <c r="A28" s="4"/>
      <c r="N28" s="4"/>
    </row>
    <row r="29" spans="1:3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3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3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3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</sheetData>
  <sheetProtection algorithmName="SHA-512" hashValue="eKR7lF+W0keFoVUYQYHFSyqfFxaaAAoL4nBBwvKONXLssABqetC4cFtULb6hJ86eY1GFGDjOXNCwgjv8uwnVbQ==" saltValue="mJlYJpR9reQsczRpY3HB3g==" spinCount="100000" sheet="1" objects="1" scenarios="1"/>
  <mergeCells count="23">
    <mergeCell ref="T10:X11"/>
    <mergeCell ref="B8:E8"/>
    <mergeCell ref="B10:F11"/>
    <mergeCell ref="T18:X20"/>
    <mergeCell ref="N10:R11"/>
    <mergeCell ref="H16:L17"/>
    <mergeCell ref="B12:F14"/>
    <mergeCell ref="A1:Y5"/>
    <mergeCell ref="B24:F26"/>
    <mergeCell ref="H18:L20"/>
    <mergeCell ref="H12:L14"/>
    <mergeCell ref="Z14:AH14"/>
    <mergeCell ref="Z1:AH1"/>
    <mergeCell ref="A6:Y7"/>
    <mergeCell ref="B18:F20"/>
    <mergeCell ref="T16:X17"/>
    <mergeCell ref="N18:R20"/>
    <mergeCell ref="B22:F23"/>
    <mergeCell ref="N12:R14"/>
    <mergeCell ref="T12:X14"/>
    <mergeCell ref="B16:F17"/>
    <mergeCell ref="H10:L11"/>
    <mergeCell ref="N16:R17"/>
  </mergeCells>
  <dataValidations count="1">
    <dataValidation type="list" errorTitle="Invalid Month" error="Please select a valid month" promptTitle="Month Selector" prompt="Select month to track dividends and ROI" sqref="F8" xr:uid="{00000000-0002-0000-0000-000000000000}">
      <formula1>"January,February,March,April,May,June,July,August,September,October,November,December"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J999"/>
  <sheetViews>
    <sheetView topLeftCell="D1" workbookViewId="0">
      <selection activeCell="H5" sqref="H5"/>
    </sheetView>
  </sheetViews>
  <sheetFormatPr defaultRowHeight="14.4" x14ac:dyDescent="0.3"/>
  <cols>
    <col min="1" max="1" width="15" customWidth="1"/>
    <col min="2" max="2" width="25" customWidth="1"/>
    <col min="3" max="3" width="35" customWidth="1"/>
    <col min="4" max="4" width="20" customWidth="1"/>
    <col min="5" max="6" width="18" customWidth="1"/>
    <col min="7" max="7" width="20" customWidth="1"/>
    <col min="8" max="8" width="25" customWidth="1"/>
    <col min="9" max="9" width="20" customWidth="1"/>
    <col min="10" max="10" width="15" customWidth="1"/>
  </cols>
  <sheetData>
    <row r="1" spans="1:10" ht="23.4" x14ac:dyDescent="0.3">
      <c r="A1" s="51" t="s">
        <v>14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3">
      <c r="A2" s="50" t="s">
        <v>15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28.8" x14ac:dyDescent="0.3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</row>
    <row r="5" spans="1:10" x14ac:dyDescent="0.3">
      <c r="A5" s="7">
        <v>1</v>
      </c>
      <c r="B5" s="8" t="s">
        <v>42</v>
      </c>
      <c r="C5" s="6" t="s">
        <v>26</v>
      </c>
      <c r="D5" s="9">
        <v>500000</v>
      </c>
      <c r="E5" s="10">
        <v>60000</v>
      </c>
      <c r="F5" s="11"/>
      <c r="G5" s="8"/>
      <c r="H5" s="8"/>
      <c r="I5" s="8"/>
      <c r="J5" s="8" t="s">
        <v>27</v>
      </c>
    </row>
    <row r="6" spans="1:10" x14ac:dyDescent="0.3">
      <c r="A6" s="7">
        <v>2</v>
      </c>
      <c r="B6" s="8" t="s">
        <v>41</v>
      </c>
      <c r="C6" s="6" t="s">
        <v>26</v>
      </c>
      <c r="D6" s="9">
        <v>500000</v>
      </c>
      <c r="E6" s="10">
        <v>50000</v>
      </c>
      <c r="F6" s="11"/>
      <c r="G6" s="8"/>
      <c r="H6" s="8"/>
      <c r="I6" s="8"/>
      <c r="J6" s="8" t="s">
        <v>27</v>
      </c>
    </row>
    <row r="7" spans="1:10" x14ac:dyDescent="0.3">
      <c r="A7" s="7">
        <v>3</v>
      </c>
      <c r="B7" s="8" t="s">
        <v>45</v>
      </c>
      <c r="C7" s="6" t="s">
        <v>26</v>
      </c>
      <c r="D7" s="9">
        <v>1000000</v>
      </c>
      <c r="E7" s="10">
        <v>100000</v>
      </c>
      <c r="F7" s="11"/>
      <c r="G7" s="8"/>
      <c r="H7" s="8"/>
      <c r="I7" s="8"/>
      <c r="J7" s="8" t="s">
        <v>27</v>
      </c>
    </row>
    <row r="8" spans="1:10" x14ac:dyDescent="0.3">
      <c r="A8" s="7"/>
      <c r="B8" s="8"/>
      <c r="C8" s="8"/>
      <c r="D8" s="9"/>
      <c r="E8" s="10"/>
      <c r="F8" s="11"/>
      <c r="G8" s="8"/>
      <c r="H8" s="8"/>
      <c r="I8" s="8"/>
      <c r="J8" s="8"/>
    </row>
    <row r="9" spans="1:10" x14ac:dyDescent="0.3">
      <c r="A9" s="7"/>
      <c r="B9" s="8"/>
      <c r="C9" s="8"/>
      <c r="D9" s="9"/>
      <c r="E9" s="10"/>
      <c r="F9" s="11"/>
      <c r="G9" s="8"/>
      <c r="H9" s="8"/>
      <c r="I9" s="8"/>
      <c r="J9" s="8"/>
    </row>
    <row r="10" spans="1:10" x14ac:dyDescent="0.3">
      <c r="A10" s="7"/>
      <c r="B10" s="8"/>
      <c r="C10" s="8"/>
      <c r="D10" s="9"/>
      <c r="E10" s="10"/>
      <c r="F10" s="11"/>
      <c r="G10" s="8"/>
      <c r="H10" s="8"/>
      <c r="I10" s="8"/>
      <c r="J10" s="8"/>
    </row>
    <row r="11" spans="1:10" x14ac:dyDescent="0.3">
      <c r="A11" s="7"/>
      <c r="B11" s="8"/>
      <c r="C11" s="8"/>
      <c r="D11" s="9"/>
      <c r="E11" s="10"/>
      <c r="F11" s="11"/>
      <c r="G11" s="8"/>
      <c r="H11" s="8"/>
      <c r="I11" s="8"/>
      <c r="J11" s="8"/>
    </row>
    <row r="12" spans="1:10" x14ac:dyDescent="0.3">
      <c r="A12" s="7"/>
      <c r="B12" s="8"/>
      <c r="C12" s="8"/>
      <c r="D12" s="9"/>
      <c r="E12" s="10"/>
      <c r="F12" s="11"/>
      <c r="G12" s="8"/>
      <c r="H12" s="8"/>
      <c r="I12" s="8"/>
      <c r="J12" s="8"/>
    </row>
    <row r="13" spans="1:10" x14ac:dyDescent="0.3">
      <c r="A13" s="7"/>
      <c r="B13" s="8"/>
      <c r="C13" s="8"/>
      <c r="D13" s="9"/>
      <c r="E13" s="10"/>
      <c r="F13" s="11"/>
      <c r="G13" s="8"/>
      <c r="H13" s="8"/>
      <c r="I13" s="8"/>
      <c r="J13" s="8"/>
    </row>
    <row r="14" spans="1:10" x14ac:dyDescent="0.3">
      <c r="A14" s="7"/>
      <c r="B14" s="8"/>
      <c r="C14" s="8"/>
      <c r="D14" s="9"/>
      <c r="E14" s="10"/>
      <c r="F14" s="11"/>
      <c r="G14" s="8"/>
      <c r="H14" s="8"/>
      <c r="I14" s="8"/>
      <c r="J14" s="8"/>
    </row>
    <row r="15" spans="1:10" x14ac:dyDescent="0.3">
      <c r="A15" s="7"/>
      <c r="B15" s="8"/>
      <c r="C15" s="8"/>
      <c r="D15" s="9"/>
      <c r="E15" s="10"/>
      <c r="F15" s="11"/>
      <c r="G15" s="8"/>
      <c r="H15" s="8"/>
      <c r="I15" s="8"/>
      <c r="J15" s="8"/>
    </row>
    <row r="16" spans="1:10" x14ac:dyDescent="0.3">
      <c r="A16" s="7"/>
      <c r="B16" s="8"/>
      <c r="C16" s="8"/>
      <c r="D16" s="9"/>
      <c r="E16" s="10"/>
      <c r="F16" s="11"/>
      <c r="G16" s="8"/>
      <c r="H16" s="8"/>
      <c r="I16" s="8"/>
      <c r="J16" s="8"/>
    </row>
    <row r="17" spans="1:10" x14ac:dyDescent="0.3">
      <c r="A17" s="7"/>
      <c r="B17" s="8"/>
      <c r="C17" s="8"/>
      <c r="D17" s="9"/>
      <c r="E17" s="10"/>
      <c r="F17" s="11"/>
      <c r="G17" s="8"/>
      <c r="H17" s="8"/>
      <c r="I17" s="8"/>
      <c r="J17" s="8"/>
    </row>
    <row r="18" spans="1:10" x14ac:dyDescent="0.3">
      <c r="A18" s="7"/>
      <c r="B18" s="8"/>
      <c r="C18" s="8"/>
      <c r="D18" s="9"/>
      <c r="E18" s="10"/>
      <c r="F18" s="11"/>
      <c r="G18" s="8"/>
      <c r="H18" s="8"/>
      <c r="I18" s="8"/>
      <c r="J18" s="8"/>
    </row>
    <row r="19" spans="1:10" x14ac:dyDescent="0.3">
      <c r="A19" s="7"/>
      <c r="B19" s="8"/>
      <c r="C19" s="8"/>
      <c r="D19" s="9"/>
      <c r="E19" s="10"/>
      <c r="F19" s="11"/>
      <c r="G19" s="8"/>
      <c r="H19" s="8"/>
      <c r="I19" s="8"/>
      <c r="J19" s="8"/>
    </row>
    <row r="20" spans="1:10" x14ac:dyDescent="0.3">
      <c r="A20" s="7"/>
      <c r="B20" s="8"/>
      <c r="C20" s="8"/>
      <c r="D20" s="9"/>
      <c r="E20" s="10"/>
      <c r="F20" s="11"/>
      <c r="G20" s="8"/>
      <c r="H20" s="8"/>
      <c r="I20" s="8"/>
      <c r="J20" s="8"/>
    </row>
    <row r="21" spans="1:10" x14ac:dyDescent="0.3">
      <c r="A21" s="7"/>
      <c r="B21" s="8"/>
      <c r="C21" s="8"/>
      <c r="D21" s="9"/>
      <c r="E21" s="10"/>
      <c r="F21" s="11"/>
      <c r="G21" s="8"/>
      <c r="H21" s="8"/>
      <c r="I21" s="8"/>
      <c r="J21" s="8"/>
    </row>
    <row r="22" spans="1:10" x14ac:dyDescent="0.3">
      <c r="A22" s="7"/>
      <c r="B22" s="8"/>
      <c r="C22" s="8"/>
      <c r="D22" s="9"/>
      <c r="E22" s="10"/>
      <c r="F22" s="11"/>
      <c r="G22" s="8"/>
      <c r="H22" s="8"/>
      <c r="I22" s="8"/>
      <c r="J22" s="8"/>
    </row>
    <row r="23" spans="1:10" x14ac:dyDescent="0.3">
      <c r="A23" s="7"/>
      <c r="B23" s="8"/>
      <c r="C23" s="8"/>
      <c r="D23" s="9"/>
      <c r="E23" s="10"/>
      <c r="F23" s="11"/>
      <c r="G23" s="8"/>
      <c r="H23" s="8"/>
      <c r="I23" s="8"/>
      <c r="J23" s="8"/>
    </row>
    <row r="24" spans="1:10" x14ac:dyDescent="0.3">
      <c r="A24" s="7"/>
      <c r="B24" s="8"/>
      <c r="C24" s="8"/>
      <c r="D24" s="9"/>
      <c r="E24" s="10"/>
      <c r="F24" s="11"/>
      <c r="G24" s="8"/>
      <c r="H24" s="8"/>
      <c r="I24" s="8"/>
      <c r="J24" s="8"/>
    </row>
    <row r="25" spans="1:10" x14ac:dyDescent="0.3">
      <c r="A25" s="7"/>
      <c r="B25" s="8"/>
      <c r="C25" s="8"/>
      <c r="D25" s="9"/>
      <c r="E25" s="10"/>
      <c r="F25" s="11"/>
      <c r="G25" s="8"/>
      <c r="H25" s="8"/>
      <c r="I25" s="8"/>
      <c r="J25" s="8"/>
    </row>
    <row r="26" spans="1:10" x14ac:dyDescent="0.3">
      <c r="A26" s="7"/>
      <c r="B26" s="8"/>
      <c r="C26" s="8"/>
      <c r="D26" s="9"/>
      <c r="E26" s="10"/>
      <c r="F26" s="11"/>
      <c r="G26" s="8"/>
      <c r="H26" s="8"/>
      <c r="I26" s="8"/>
      <c r="J26" s="8"/>
    </row>
    <row r="27" spans="1:10" x14ac:dyDescent="0.3">
      <c r="A27" s="7"/>
      <c r="B27" s="8"/>
      <c r="C27" s="8"/>
      <c r="D27" s="9"/>
      <c r="E27" s="10"/>
      <c r="F27" s="11"/>
      <c r="G27" s="8"/>
      <c r="H27" s="8"/>
      <c r="I27" s="8"/>
      <c r="J27" s="8"/>
    </row>
    <row r="28" spans="1:10" x14ac:dyDescent="0.3">
      <c r="A28" s="7"/>
      <c r="B28" s="8"/>
      <c r="C28" s="8"/>
      <c r="D28" s="9"/>
      <c r="E28" s="10"/>
      <c r="F28" s="11"/>
      <c r="G28" s="8"/>
      <c r="H28" s="8"/>
      <c r="I28" s="8"/>
      <c r="J28" s="8"/>
    </row>
    <row r="29" spans="1:10" x14ac:dyDescent="0.3">
      <c r="A29" s="7"/>
      <c r="B29" s="8"/>
      <c r="C29" s="8"/>
      <c r="D29" s="9"/>
      <c r="E29" s="10"/>
      <c r="F29" s="11"/>
      <c r="G29" s="8"/>
      <c r="H29" s="8"/>
      <c r="I29" s="8"/>
      <c r="J29" s="8"/>
    </row>
    <row r="30" spans="1:10" x14ac:dyDescent="0.3">
      <c r="A30" s="7"/>
      <c r="B30" s="8"/>
      <c r="C30" s="8"/>
      <c r="D30" s="9"/>
      <c r="E30" s="10"/>
      <c r="F30" s="11"/>
      <c r="G30" s="8"/>
      <c r="H30" s="8"/>
      <c r="I30" s="8"/>
      <c r="J30" s="8"/>
    </row>
    <row r="31" spans="1:10" x14ac:dyDescent="0.3">
      <c r="A31" s="7"/>
      <c r="B31" s="8"/>
      <c r="C31" s="8"/>
      <c r="D31" s="9"/>
      <c r="E31" s="10"/>
      <c r="F31" s="11"/>
      <c r="G31" s="8"/>
      <c r="H31" s="8"/>
      <c r="I31" s="8"/>
      <c r="J31" s="8"/>
    </row>
    <row r="32" spans="1:10" x14ac:dyDescent="0.3">
      <c r="A32" s="7"/>
      <c r="B32" s="8"/>
      <c r="C32" s="8"/>
      <c r="D32" s="9"/>
      <c r="E32" s="10"/>
      <c r="F32" s="11"/>
      <c r="G32" s="8"/>
      <c r="H32" s="8"/>
      <c r="I32" s="8"/>
      <c r="J32" s="8"/>
    </row>
    <row r="33" spans="1:10" x14ac:dyDescent="0.3">
      <c r="A33" s="7"/>
      <c r="B33" s="8"/>
      <c r="C33" s="8"/>
      <c r="D33" s="9"/>
      <c r="E33" s="10"/>
      <c r="F33" s="11"/>
      <c r="G33" s="8"/>
      <c r="H33" s="8"/>
      <c r="I33" s="8"/>
      <c r="J33" s="8"/>
    </row>
    <row r="34" spans="1:10" x14ac:dyDescent="0.3">
      <c r="A34" s="7"/>
      <c r="B34" s="8"/>
      <c r="C34" s="8"/>
      <c r="D34" s="9"/>
      <c r="E34" s="10"/>
      <c r="F34" s="11"/>
      <c r="G34" s="8"/>
      <c r="H34" s="8"/>
      <c r="I34" s="8"/>
      <c r="J34" s="8"/>
    </row>
    <row r="35" spans="1:10" x14ac:dyDescent="0.3">
      <c r="A35" s="7"/>
      <c r="B35" s="8"/>
      <c r="C35" s="8"/>
      <c r="D35" s="9"/>
      <c r="E35" s="10"/>
      <c r="F35" s="11"/>
      <c r="G35" s="8"/>
      <c r="H35" s="8"/>
      <c r="I35" s="8"/>
      <c r="J35" s="8"/>
    </row>
    <row r="36" spans="1:10" x14ac:dyDescent="0.3">
      <c r="A36" s="7"/>
      <c r="B36" s="8"/>
      <c r="C36" s="8"/>
      <c r="D36" s="9"/>
      <c r="E36" s="10"/>
      <c r="F36" s="11"/>
      <c r="G36" s="8"/>
      <c r="H36" s="8"/>
      <c r="I36" s="8"/>
      <c r="J36" s="8"/>
    </row>
    <row r="37" spans="1:10" x14ac:dyDescent="0.3">
      <c r="A37" s="7"/>
      <c r="B37" s="8"/>
      <c r="C37" s="8"/>
      <c r="D37" s="9"/>
      <c r="E37" s="10"/>
      <c r="F37" s="11"/>
      <c r="G37" s="8"/>
      <c r="H37" s="8"/>
      <c r="I37" s="8"/>
      <c r="J37" s="8"/>
    </row>
    <row r="38" spans="1:10" x14ac:dyDescent="0.3">
      <c r="A38" s="7"/>
      <c r="B38" s="8"/>
      <c r="C38" s="8"/>
      <c r="D38" s="9"/>
      <c r="E38" s="10"/>
      <c r="F38" s="11"/>
      <c r="G38" s="8"/>
      <c r="H38" s="8"/>
      <c r="I38" s="8"/>
      <c r="J38" s="8"/>
    </row>
    <row r="39" spans="1:10" x14ac:dyDescent="0.3">
      <c r="A39" s="7"/>
      <c r="B39" s="8"/>
      <c r="C39" s="8"/>
      <c r="D39" s="9"/>
      <c r="E39" s="10"/>
      <c r="F39" s="11"/>
      <c r="G39" s="8"/>
      <c r="H39" s="8"/>
      <c r="I39" s="8"/>
      <c r="J39" s="8"/>
    </row>
    <row r="40" spans="1:10" x14ac:dyDescent="0.3">
      <c r="A40" s="7"/>
      <c r="B40" s="8"/>
      <c r="C40" s="8"/>
      <c r="D40" s="9"/>
      <c r="E40" s="10"/>
      <c r="F40" s="11"/>
      <c r="G40" s="8"/>
      <c r="H40" s="8"/>
      <c r="I40" s="8"/>
      <c r="J40" s="8"/>
    </row>
    <row r="41" spans="1:10" x14ac:dyDescent="0.3">
      <c r="A41" s="7"/>
      <c r="B41" s="8"/>
      <c r="C41" s="8"/>
      <c r="D41" s="9"/>
      <c r="E41" s="10"/>
      <c r="F41" s="11"/>
      <c r="G41" s="8"/>
      <c r="H41" s="8"/>
      <c r="I41" s="8"/>
      <c r="J41" s="8"/>
    </row>
    <row r="42" spans="1:10" x14ac:dyDescent="0.3">
      <c r="A42" s="7"/>
      <c r="B42" s="8"/>
      <c r="C42" s="8"/>
      <c r="D42" s="9"/>
      <c r="E42" s="10"/>
      <c r="F42" s="11"/>
      <c r="G42" s="8"/>
      <c r="H42" s="8"/>
      <c r="I42" s="8"/>
      <c r="J42" s="8"/>
    </row>
    <row r="43" spans="1:10" x14ac:dyDescent="0.3">
      <c r="A43" s="7"/>
      <c r="B43" s="8"/>
      <c r="C43" s="8"/>
      <c r="D43" s="9"/>
      <c r="E43" s="10"/>
      <c r="F43" s="11"/>
      <c r="G43" s="8"/>
      <c r="H43" s="8"/>
      <c r="I43" s="8"/>
      <c r="J43" s="8"/>
    </row>
    <row r="44" spans="1:10" x14ac:dyDescent="0.3">
      <c r="A44" s="7"/>
      <c r="B44" s="8"/>
      <c r="C44" s="8"/>
      <c r="D44" s="9"/>
      <c r="E44" s="10"/>
      <c r="F44" s="11"/>
      <c r="G44" s="8"/>
      <c r="H44" s="8"/>
      <c r="I44" s="8"/>
      <c r="J44" s="8"/>
    </row>
    <row r="45" spans="1:10" x14ac:dyDescent="0.3">
      <c r="A45" s="7"/>
      <c r="B45" s="8"/>
      <c r="C45" s="8"/>
      <c r="D45" s="9"/>
      <c r="E45" s="10"/>
      <c r="F45" s="11"/>
      <c r="G45" s="8"/>
      <c r="H45" s="8"/>
      <c r="I45" s="8"/>
      <c r="J45" s="8"/>
    </row>
    <row r="46" spans="1:10" x14ac:dyDescent="0.3">
      <c r="A46" s="7"/>
      <c r="B46" s="8"/>
      <c r="C46" s="8"/>
      <c r="D46" s="9"/>
      <c r="E46" s="10"/>
      <c r="F46" s="11"/>
      <c r="G46" s="8"/>
      <c r="H46" s="8"/>
      <c r="I46" s="8"/>
      <c r="J46" s="8"/>
    </row>
    <row r="47" spans="1:10" x14ac:dyDescent="0.3">
      <c r="A47" s="7"/>
      <c r="B47" s="8"/>
      <c r="C47" s="8"/>
      <c r="D47" s="9"/>
      <c r="E47" s="10"/>
      <c r="F47" s="11"/>
      <c r="G47" s="8"/>
      <c r="H47" s="8"/>
      <c r="I47" s="8"/>
      <c r="J47" s="8"/>
    </row>
    <row r="48" spans="1:10" x14ac:dyDescent="0.3">
      <c r="A48" s="7"/>
      <c r="B48" s="8"/>
      <c r="C48" s="8"/>
      <c r="D48" s="9"/>
      <c r="E48" s="10"/>
      <c r="F48" s="11"/>
      <c r="G48" s="8"/>
      <c r="H48" s="8"/>
      <c r="I48" s="8"/>
      <c r="J48" s="8"/>
    </row>
    <row r="49" spans="1:10" x14ac:dyDescent="0.3">
      <c r="A49" s="7"/>
      <c r="B49" s="8"/>
      <c r="C49" s="8"/>
      <c r="D49" s="9"/>
      <c r="E49" s="10"/>
      <c r="F49" s="11"/>
      <c r="G49" s="8"/>
      <c r="H49" s="8"/>
      <c r="I49" s="8"/>
      <c r="J49" s="8"/>
    </row>
    <row r="50" spans="1:10" x14ac:dyDescent="0.3">
      <c r="A50" s="7"/>
      <c r="B50" s="8"/>
      <c r="C50" s="8"/>
      <c r="D50" s="9"/>
      <c r="E50" s="10"/>
      <c r="F50" s="11"/>
      <c r="G50" s="8"/>
      <c r="H50" s="8"/>
      <c r="I50" s="8"/>
      <c r="J50" s="8"/>
    </row>
    <row r="51" spans="1:10" x14ac:dyDescent="0.3">
      <c r="A51" s="7"/>
      <c r="B51" s="8"/>
      <c r="C51" s="8"/>
      <c r="D51" s="9"/>
      <c r="E51" s="10"/>
      <c r="F51" s="11"/>
      <c r="G51" s="8"/>
      <c r="H51" s="8"/>
      <c r="I51" s="8"/>
      <c r="J51" s="8"/>
    </row>
    <row r="52" spans="1:10" x14ac:dyDescent="0.3">
      <c r="A52" s="7"/>
      <c r="B52" s="8"/>
      <c r="C52" s="8"/>
      <c r="D52" s="9"/>
      <c r="E52" s="10"/>
      <c r="F52" s="11"/>
      <c r="G52" s="8"/>
      <c r="H52" s="8"/>
      <c r="I52" s="8"/>
      <c r="J52" s="8"/>
    </row>
    <row r="53" spans="1:10" x14ac:dyDescent="0.3">
      <c r="A53" s="7"/>
      <c r="B53" s="8"/>
      <c r="C53" s="8"/>
      <c r="D53" s="9"/>
      <c r="E53" s="10"/>
      <c r="F53" s="11"/>
      <c r="G53" s="8"/>
      <c r="H53" s="8"/>
      <c r="I53" s="8"/>
      <c r="J53" s="8"/>
    </row>
    <row r="54" spans="1:10" x14ac:dyDescent="0.3">
      <c r="A54" s="7"/>
      <c r="B54" s="8"/>
      <c r="C54" s="8"/>
      <c r="D54" s="9"/>
      <c r="E54" s="10"/>
      <c r="F54" s="11"/>
      <c r="G54" s="8"/>
      <c r="H54" s="8"/>
      <c r="I54" s="8"/>
      <c r="J54" s="8"/>
    </row>
    <row r="55" spans="1:10" x14ac:dyDescent="0.3">
      <c r="A55" s="7"/>
      <c r="B55" s="8"/>
      <c r="C55" s="8"/>
      <c r="D55" s="9"/>
      <c r="E55" s="10"/>
      <c r="F55" s="11"/>
      <c r="G55" s="8"/>
      <c r="H55" s="8"/>
      <c r="I55" s="8"/>
      <c r="J55" s="8"/>
    </row>
    <row r="56" spans="1:10" x14ac:dyDescent="0.3">
      <c r="A56" s="7"/>
      <c r="B56" s="8"/>
      <c r="C56" s="8"/>
      <c r="D56" s="9"/>
      <c r="E56" s="10"/>
      <c r="F56" s="11"/>
      <c r="G56" s="8"/>
      <c r="H56" s="8"/>
      <c r="I56" s="8"/>
      <c r="J56" s="8"/>
    </row>
    <row r="57" spans="1:10" x14ac:dyDescent="0.3">
      <c r="A57" s="7"/>
      <c r="B57" s="8"/>
      <c r="C57" s="8"/>
      <c r="D57" s="9"/>
      <c r="E57" s="10"/>
      <c r="F57" s="11"/>
      <c r="G57" s="8"/>
      <c r="H57" s="8"/>
      <c r="I57" s="8"/>
      <c r="J57" s="8"/>
    </row>
    <row r="58" spans="1:10" x14ac:dyDescent="0.3">
      <c r="A58" s="7"/>
      <c r="B58" s="8"/>
      <c r="C58" s="8"/>
      <c r="D58" s="9"/>
      <c r="E58" s="10"/>
      <c r="F58" s="11"/>
      <c r="G58" s="8"/>
      <c r="H58" s="8"/>
      <c r="I58" s="8"/>
      <c r="J58" s="8"/>
    </row>
    <row r="59" spans="1:10" x14ac:dyDescent="0.3">
      <c r="A59" s="7"/>
      <c r="B59" s="8"/>
      <c r="C59" s="8"/>
      <c r="D59" s="9"/>
      <c r="E59" s="10"/>
      <c r="F59" s="11"/>
      <c r="G59" s="8"/>
      <c r="H59" s="8"/>
      <c r="I59" s="8"/>
      <c r="J59" s="8"/>
    </row>
    <row r="60" spans="1:10" x14ac:dyDescent="0.3">
      <c r="A60" s="7"/>
      <c r="B60" s="8"/>
      <c r="C60" s="8"/>
      <c r="D60" s="9"/>
      <c r="E60" s="10"/>
      <c r="F60" s="11"/>
      <c r="G60" s="8"/>
      <c r="H60" s="8"/>
      <c r="I60" s="8"/>
      <c r="J60" s="8"/>
    </row>
    <row r="61" spans="1:10" x14ac:dyDescent="0.3">
      <c r="A61" s="7"/>
      <c r="B61" s="8"/>
      <c r="C61" s="8"/>
      <c r="D61" s="9"/>
      <c r="E61" s="10"/>
      <c r="F61" s="11"/>
      <c r="G61" s="8"/>
      <c r="H61" s="8"/>
      <c r="I61" s="8"/>
      <c r="J61" s="8"/>
    </row>
    <row r="62" spans="1:10" x14ac:dyDescent="0.3">
      <c r="A62" s="7"/>
      <c r="B62" s="8"/>
      <c r="C62" s="8"/>
      <c r="D62" s="9"/>
      <c r="E62" s="10"/>
      <c r="F62" s="11"/>
      <c r="G62" s="8"/>
      <c r="H62" s="8"/>
      <c r="I62" s="8"/>
      <c r="J62" s="8"/>
    </row>
    <row r="63" spans="1:10" x14ac:dyDescent="0.3">
      <c r="A63" s="7"/>
      <c r="B63" s="8"/>
      <c r="C63" s="8"/>
      <c r="D63" s="9"/>
      <c r="E63" s="10"/>
      <c r="F63" s="11"/>
      <c r="G63" s="8"/>
      <c r="H63" s="8"/>
      <c r="I63" s="8"/>
      <c r="J63" s="8"/>
    </row>
    <row r="64" spans="1:10" x14ac:dyDescent="0.3">
      <c r="A64" s="7"/>
      <c r="B64" s="8"/>
      <c r="C64" s="8"/>
      <c r="D64" s="9"/>
      <c r="E64" s="10"/>
      <c r="F64" s="11"/>
      <c r="G64" s="8"/>
      <c r="H64" s="8"/>
      <c r="I64" s="8"/>
      <c r="J64" s="8"/>
    </row>
    <row r="65" spans="1:10" x14ac:dyDescent="0.3">
      <c r="A65" s="7"/>
      <c r="B65" s="8"/>
      <c r="C65" s="8"/>
      <c r="D65" s="9"/>
      <c r="E65" s="10"/>
      <c r="F65" s="11"/>
      <c r="G65" s="8"/>
      <c r="H65" s="8"/>
      <c r="I65" s="8"/>
      <c r="J65" s="8"/>
    </row>
    <row r="66" spans="1:10" x14ac:dyDescent="0.3">
      <c r="A66" s="7"/>
      <c r="B66" s="8"/>
      <c r="C66" s="8"/>
      <c r="D66" s="9"/>
      <c r="E66" s="10"/>
      <c r="F66" s="11"/>
      <c r="G66" s="8"/>
      <c r="H66" s="8"/>
      <c r="I66" s="8"/>
      <c r="J66" s="8"/>
    </row>
    <row r="67" spans="1:10" x14ac:dyDescent="0.3">
      <c r="A67" s="7"/>
      <c r="B67" s="8"/>
      <c r="C67" s="8"/>
      <c r="D67" s="9"/>
      <c r="E67" s="10"/>
      <c r="F67" s="11"/>
      <c r="G67" s="8"/>
      <c r="H67" s="8"/>
      <c r="I67" s="8"/>
      <c r="J67" s="8"/>
    </row>
    <row r="68" spans="1:10" x14ac:dyDescent="0.3">
      <c r="A68" s="7"/>
      <c r="B68" s="8"/>
      <c r="C68" s="8"/>
      <c r="D68" s="9"/>
      <c r="E68" s="10"/>
      <c r="F68" s="11"/>
      <c r="G68" s="8"/>
      <c r="H68" s="8"/>
      <c r="I68" s="8"/>
      <c r="J68" s="8"/>
    </row>
    <row r="69" spans="1:10" x14ac:dyDescent="0.3">
      <c r="A69" s="7"/>
      <c r="B69" s="8"/>
      <c r="C69" s="8"/>
      <c r="D69" s="9"/>
      <c r="E69" s="10"/>
      <c r="F69" s="11"/>
      <c r="G69" s="8"/>
      <c r="H69" s="8"/>
      <c r="I69" s="8"/>
      <c r="J69" s="8"/>
    </row>
    <row r="70" spans="1:10" x14ac:dyDescent="0.3">
      <c r="A70" s="7"/>
      <c r="B70" s="8"/>
      <c r="C70" s="8"/>
      <c r="D70" s="9"/>
      <c r="E70" s="10"/>
      <c r="F70" s="11"/>
      <c r="G70" s="8"/>
      <c r="H70" s="8"/>
      <c r="I70" s="8"/>
      <c r="J70" s="8"/>
    </row>
    <row r="71" spans="1:10" x14ac:dyDescent="0.3">
      <c r="A71" s="7"/>
      <c r="B71" s="8"/>
      <c r="C71" s="8"/>
      <c r="D71" s="9"/>
      <c r="E71" s="10"/>
      <c r="F71" s="11"/>
      <c r="G71" s="8"/>
      <c r="H71" s="8"/>
      <c r="I71" s="8"/>
      <c r="J71" s="8"/>
    </row>
    <row r="72" spans="1:10" x14ac:dyDescent="0.3">
      <c r="A72" s="7"/>
      <c r="B72" s="8"/>
      <c r="C72" s="8"/>
      <c r="D72" s="9"/>
      <c r="E72" s="10"/>
      <c r="F72" s="11"/>
      <c r="G72" s="8"/>
      <c r="H72" s="8"/>
      <c r="I72" s="8"/>
      <c r="J72" s="8"/>
    </row>
    <row r="73" spans="1:10" x14ac:dyDescent="0.3">
      <c r="A73" s="7"/>
      <c r="B73" s="8"/>
      <c r="C73" s="8"/>
      <c r="D73" s="9"/>
      <c r="E73" s="10"/>
      <c r="F73" s="11"/>
      <c r="G73" s="8"/>
      <c r="H73" s="8"/>
      <c r="I73" s="8"/>
      <c r="J73" s="8"/>
    </row>
    <row r="74" spans="1:10" x14ac:dyDescent="0.3">
      <c r="A74" s="7"/>
      <c r="B74" s="8"/>
      <c r="C74" s="8"/>
      <c r="D74" s="9"/>
      <c r="E74" s="10"/>
      <c r="F74" s="11"/>
      <c r="G74" s="8"/>
      <c r="H74" s="8"/>
      <c r="I74" s="8"/>
      <c r="J74" s="8"/>
    </row>
    <row r="75" spans="1:10" x14ac:dyDescent="0.3">
      <c r="A75" s="7"/>
      <c r="B75" s="8"/>
      <c r="C75" s="8"/>
      <c r="D75" s="9"/>
      <c r="E75" s="10"/>
      <c r="F75" s="11"/>
      <c r="G75" s="8"/>
      <c r="H75" s="8"/>
      <c r="I75" s="8"/>
      <c r="J75" s="8"/>
    </row>
    <row r="76" spans="1:10" x14ac:dyDescent="0.3">
      <c r="A76" s="7"/>
      <c r="B76" s="8"/>
      <c r="C76" s="8"/>
      <c r="D76" s="9"/>
      <c r="E76" s="10"/>
      <c r="F76" s="11"/>
      <c r="G76" s="8"/>
      <c r="H76" s="8"/>
      <c r="I76" s="8"/>
      <c r="J76" s="8"/>
    </row>
    <row r="77" spans="1:10" x14ac:dyDescent="0.3">
      <c r="A77" s="7"/>
      <c r="B77" s="8"/>
      <c r="C77" s="8"/>
      <c r="D77" s="9"/>
      <c r="E77" s="10"/>
      <c r="F77" s="11"/>
      <c r="G77" s="8"/>
      <c r="H77" s="8"/>
      <c r="I77" s="8"/>
      <c r="J77" s="8"/>
    </row>
    <row r="78" spans="1:10" x14ac:dyDescent="0.3">
      <c r="A78" s="7"/>
      <c r="B78" s="8"/>
      <c r="C78" s="8"/>
      <c r="D78" s="9"/>
      <c r="E78" s="10"/>
      <c r="F78" s="11"/>
      <c r="G78" s="8"/>
      <c r="H78" s="8"/>
      <c r="I78" s="8"/>
      <c r="J78" s="8"/>
    </row>
    <row r="79" spans="1:10" x14ac:dyDescent="0.3">
      <c r="A79" s="7"/>
      <c r="B79" s="8"/>
      <c r="C79" s="8"/>
      <c r="D79" s="9"/>
      <c r="E79" s="10"/>
      <c r="F79" s="11"/>
      <c r="G79" s="8"/>
      <c r="H79" s="8"/>
      <c r="I79" s="8"/>
      <c r="J79" s="8"/>
    </row>
    <row r="80" spans="1:10" x14ac:dyDescent="0.3">
      <c r="A80" s="7"/>
      <c r="B80" s="8"/>
      <c r="C80" s="8"/>
      <c r="D80" s="9"/>
      <c r="E80" s="10"/>
      <c r="F80" s="11"/>
      <c r="G80" s="8"/>
      <c r="H80" s="8"/>
      <c r="I80" s="8"/>
      <c r="J80" s="8"/>
    </row>
    <row r="81" spans="1:10" x14ac:dyDescent="0.3">
      <c r="A81" s="7"/>
      <c r="B81" s="8"/>
      <c r="C81" s="8"/>
      <c r="D81" s="9"/>
      <c r="E81" s="10"/>
      <c r="F81" s="11"/>
      <c r="G81" s="8"/>
      <c r="H81" s="8"/>
      <c r="I81" s="8"/>
      <c r="J81" s="8"/>
    </row>
    <row r="82" spans="1:10" x14ac:dyDescent="0.3">
      <c r="A82" s="7"/>
      <c r="B82" s="8"/>
      <c r="C82" s="8"/>
      <c r="D82" s="9"/>
      <c r="E82" s="10"/>
      <c r="F82" s="11"/>
      <c r="G82" s="8"/>
      <c r="H82" s="8"/>
      <c r="I82" s="8"/>
      <c r="J82" s="8"/>
    </row>
    <row r="83" spans="1:10" x14ac:dyDescent="0.3">
      <c r="A83" s="7"/>
      <c r="B83" s="8"/>
      <c r="C83" s="8"/>
      <c r="D83" s="9"/>
      <c r="E83" s="10"/>
      <c r="F83" s="11"/>
      <c r="G83" s="8"/>
      <c r="H83" s="8"/>
      <c r="I83" s="8"/>
      <c r="J83" s="8"/>
    </row>
    <row r="84" spans="1:10" x14ac:dyDescent="0.3">
      <c r="A84" s="7"/>
      <c r="B84" s="8"/>
      <c r="C84" s="8"/>
      <c r="D84" s="9"/>
      <c r="E84" s="10"/>
      <c r="F84" s="11"/>
      <c r="G84" s="8"/>
      <c r="H84" s="8"/>
      <c r="I84" s="8"/>
      <c r="J84" s="8"/>
    </row>
    <row r="85" spans="1:10" x14ac:dyDescent="0.3">
      <c r="A85" s="7"/>
      <c r="B85" s="8"/>
      <c r="C85" s="8"/>
      <c r="D85" s="9"/>
      <c r="E85" s="10"/>
      <c r="F85" s="11"/>
      <c r="G85" s="8"/>
      <c r="H85" s="8"/>
      <c r="I85" s="8"/>
      <c r="J85" s="8"/>
    </row>
    <row r="86" spans="1:10" x14ac:dyDescent="0.3">
      <c r="A86" s="7"/>
      <c r="B86" s="8"/>
      <c r="C86" s="8"/>
      <c r="D86" s="9"/>
      <c r="E86" s="10"/>
      <c r="F86" s="11"/>
      <c r="G86" s="8"/>
      <c r="H86" s="8"/>
      <c r="I86" s="8"/>
      <c r="J86" s="8"/>
    </row>
    <row r="87" spans="1:10" x14ac:dyDescent="0.3">
      <c r="A87" s="7"/>
      <c r="B87" s="8"/>
      <c r="C87" s="8"/>
      <c r="D87" s="9"/>
      <c r="E87" s="10"/>
      <c r="F87" s="11"/>
      <c r="G87" s="8"/>
      <c r="H87" s="8"/>
      <c r="I87" s="8"/>
      <c r="J87" s="8"/>
    </row>
    <row r="88" spans="1:10" x14ac:dyDescent="0.3">
      <c r="A88" s="7"/>
      <c r="B88" s="8"/>
      <c r="C88" s="8"/>
      <c r="D88" s="9"/>
      <c r="E88" s="10"/>
      <c r="F88" s="11"/>
      <c r="G88" s="8"/>
      <c r="H88" s="8"/>
      <c r="I88" s="8"/>
      <c r="J88" s="8"/>
    </row>
    <row r="89" spans="1:10" x14ac:dyDescent="0.3">
      <c r="A89" s="7"/>
      <c r="B89" s="8"/>
      <c r="C89" s="8"/>
      <c r="D89" s="9"/>
      <c r="E89" s="10"/>
      <c r="F89" s="11"/>
      <c r="G89" s="8"/>
      <c r="H89" s="8"/>
      <c r="I89" s="8"/>
      <c r="J89" s="8"/>
    </row>
    <row r="90" spans="1:10" x14ac:dyDescent="0.3">
      <c r="A90" s="7"/>
      <c r="B90" s="8"/>
      <c r="C90" s="8"/>
      <c r="D90" s="9"/>
      <c r="E90" s="10"/>
      <c r="F90" s="11"/>
      <c r="G90" s="8"/>
      <c r="H90" s="8"/>
      <c r="I90" s="8"/>
      <c r="J90" s="8"/>
    </row>
    <row r="91" spans="1:10" x14ac:dyDescent="0.3">
      <c r="A91" s="7"/>
      <c r="B91" s="8"/>
      <c r="C91" s="8"/>
      <c r="D91" s="9"/>
      <c r="E91" s="10"/>
      <c r="F91" s="11"/>
      <c r="G91" s="8"/>
      <c r="H91" s="8"/>
      <c r="I91" s="8"/>
      <c r="J91" s="8"/>
    </row>
    <row r="92" spans="1:10" x14ac:dyDescent="0.3">
      <c r="A92" s="7"/>
      <c r="B92" s="8"/>
      <c r="C92" s="8"/>
      <c r="D92" s="9"/>
      <c r="E92" s="10"/>
      <c r="F92" s="11"/>
      <c r="G92" s="8"/>
      <c r="H92" s="8"/>
      <c r="I92" s="8"/>
      <c r="J92" s="8"/>
    </row>
    <row r="93" spans="1:10" x14ac:dyDescent="0.3">
      <c r="A93" s="7"/>
      <c r="B93" s="8"/>
      <c r="C93" s="8"/>
      <c r="D93" s="9"/>
      <c r="E93" s="10"/>
      <c r="F93" s="11"/>
      <c r="G93" s="8"/>
      <c r="H93" s="8"/>
      <c r="I93" s="8"/>
      <c r="J93" s="8"/>
    </row>
    <row r="94" spans="1:10" x14ac:dyDescent="0.3">
      <c r="A94" s="7"/>
      <c r="B94" s="8"/>
      <c r="C94" s="8"/>
      <c r="D94" s="9"/>
      <c r="E94" s="10"/>
      <c r="F94" s="11"/>
      <c r="G94" s="8"/>
      <c r="H94" s="8"/>
      <c r="I94" s="8"/>
      <c r="J94" s="8"/>
    </row>
    <row r="95" spans="1:10" x14ac:dyDescent="0.3">
      <c r="A95" s="7"/>
      <c r="B95" s="8"/>
      <c r="C95" s="8"/>
      <c r="D95" s="9"/>
      <c r="E95" s="10"/>
      <c r="F95" s="11"/>
      <c r="G95" s="8"/>
      <c r="H95" s="8"/>
      <c r="I95" s="8"/>
      <c r="J95" s="8"/>
    </row>
    <row r="96" spans="1:10" x14ac:dyDescent="0.3">
      <c r="A96" s="7"/>
      <c r="B96" s="8"/>
      <c r="C96" s="8"/>
      <c r="D96" s="9"/>
      <c r="E96" s="10"/>
      <c r="F96" s="11"/>
      <c r="G96" s="8"/>
      <c r="H96" s="8"/>
      <c r="I96" s="8"/>
      <c r="J96" s="8"/>
    </row>
    <row r="97" spans="1:10" x14ac:dyDescent="0.3">
      <c r="A97" s="7"/>
      <c r="B97" s="8"/>
      <c r="C97" s="8"/>
      <c r="D97" s="9"/>
      <c r="E97" s="10"/>
      <c r="F97" s="11"/>
      <c r="G97" s="8"/>
      <c r="H97" s="8"/>
      <c r="I97" s="8"/>
      <c r="J97" s="8"/>
    </row>
    <row r="98" spans="1:10" x14ac:dyDescent="0.3">
      <c r="A98" s="7"/>
      <c r="B98" s="8"/>
      <c r="C98" s="8"/>
      <c r="D98" s="9"/>
      <c r="E98" s="10"/>
      <c r="F98" s="11"/>
      <c r="G98" s="8"/>
      <c r="H98" s="8"/>
      <c r="I98" s="8"/>
      <c r="J98" s="8"/>
    </row>
    <row r="99" spans="1:10" x14ac:dyDescent="0.3">
      <c r="A99" s="7"/>
      <c r="B99" s="8"/>
      <c r="C99" s="8"/>
      <c r="D99" s="9"/>
      <c r="E99" s="10"/>
      <c r="F99" s="11"/>
      <c r="G99" s="8"/>
      <c r="H99" s="8"/>
      <c r="I99" s="8"/>
      <c r="J99" s="8"/>
    </row>
    <row r="100" spans="1:10" x14ac:dyDescent="0.3">
      <c r="A100" s="7"/>
      <c r="B100" s="8"/>
      <c r="C100" s="8"/>
      <c r="D100" s="9"/>
      <c r="E100" s="10"/>
      <c r="F100" s="11"/>
      <c r="G100" s="8"/>
      <c r="H100" s="8"/>
      <c r="I100" s="8"/>
      <c r="J100" s="8"/>
    </row>
    <row r="101" spans="1:10" x14ac:dyDescent="0.3">
      <c r="A101" s="7"/>
      <c r="B101" s="8"/>
      <c r="C101" s="8"/>
      <c r="D101" s="9"/>
      <c r="E101" s="10"/>
      <c r="F101" s="11"/>
      <c r="G101" s="8"/>
      <c r="H101" s="8"/>
      <c r="I101" s="8"/>
      <c r="J101" s="8"/>
    </row>
    <row r="102" spans="1:10" x14ac:dyDescent="0.3">
      <c r="A102" s="7"/>
      <c r="B102" s="8"/>
      <c r="C102" s="8"/>
      <c r="D102" s="9"/>
      <c r="E102" s="10"/>
      <c r="F102" s="11"/>
      <c r="G102" s="8"/>
      <c r="H102" s="8"/>
      <c r="I102" s="8"/>
      <c r="J102" s="8"/>
    </row>
    <row r="103" spans="1:10" x14ac:dyDescent="0.3">
      <c r="A103" s="7"/>
      <c r="B103" s="8"/>
      <c r="C103" s="8"/>
      <c r="D103" s="9"/>
      <c r="E103" s="10"/>
      <c r="F103" s="11"/>
      <c r="G103" s="8"/>
      <c r="H103" s="8"/>
      <c r="I103" s="8"/>
      <c r="J103" s="8"/>
    </row>
    <row r="104" spans="1:10" x14ac:dyDescent="0.3">
      <c r="A104" s="7"/>
      <c r="B104" s="8"/>
      <c r="C104" s="8"/>
      <c r="D104" s="9"/>
      <c r="E104" s="10"/>
      <c r="F104" s="11"/>
      <c r="G104" s="8"/>
      <c r="H104" s="8"/>
      <c r="I104" s="8"/>
      <c r="J104" s="8"/>
    </row>
    <row r="105" spans="1:10" x14ac:dyDescent="0.3">
      <c r="A105" s="7"/>
      <c r="B105" s="8"/>
      <c r="C105" s="8"/>
      <c r="D105" s="9"/>
      <c r="E105" s="10"/>
      <c r="F105" s="11"/>
      <c r="G105" s="8"/>
      <c r="H105" s="8"/>
      <c r="I105" s="8"/>
      <c r="J105" s="8"/>
    </row>
    <row r="106" spans="1:10" x14ac:dyDescent="0.3">
      <c r="A106" s="7"/>
      <c r="B106" s="8"/>
      <c r="C106" s="8"/>
      <c r="D106" s="9"/>
      <c r="E106" s="10"/>
      <c r="F106" s="11"/>
      <c r="G106" s="8"/>
      <c r="H106" s="8"/>
      <c r="I106" s="8"/>
      <c r="J106" s="8"/>
    </row>
    <row r="107" spans="1:10" x14ac:dyDescent="0.3">
      <c r="A107" s="7"/>
      <c r="B107" s="8"/>
      <c r="C107" s="8"/>
      <c r="D107" s="9"/>
      <c r="E107" s="10"/>
      <c r="F107" s="11"/>
      <c r="G107" s="8"/>
      <c r="H107" s="8"/>
      <c r="I107" s="8"/>
      <c r="J107" s="8"/>
    </row>
    <row r="108" spans="1:10" x14ac:dyDescent="0.3">
      <c r="A108" s="7"/>
      <c r="B108" s="8"/>
      <c r="C108" s="8"/>
      <c r="D108" s="9"/>
      <c r="E108" s="10"/>
      <c r="F108" s="11"/>
      <c r="G108" s="8"/>
      <c r="H108" s="8"/>
      <c r="I108" s="8"/>
      <c r="J108" s="8"/>
    </row>
    <row r="109" spans="1:10" x14ac:dyDescent="0.3">
      <c r="A109" s="7"/>
      <c r="B109" s="8"/>
      <c r="C109" s="8"/>
      <c r="D109" s="9"/>
      <c r="E109" s="10"/>
      <c r="F109" s="11"/>
      <c r="G109" s="8"/>
      <c r="H109" s="8"/>
      <c r="I109" s="8"/>
      <c r="J109" s="8"/>
    </row>
    <row r="110" spans="1:10" x14ac:dyDescent="0.3">
      <c r="A110" s="7"/>
      <c r="B110" s="8"/>
      <c r="C110" s="8"/>
      <c r="D110" s="9"/>
      <c r="E110" s="10"/>
      <c r="F110" s="11"/>
      <c r="G110" s="8"/>
      <c r="H110" s="8"/>
      <c r="I110" s="8"/>
      <c r="J110" s="8"/>
    </row>
    <row r="111" spans="1:10" x14ac:dyDescent="0.3">
      <c r="A111" s="7"/>
      <c r="B111" s="8"/>
      <c r="C111" s="8"/>
      <c r="D111" s="9"/>
      <c r="E111" s="10"/>
      <c r="F111" s="11"/>
      <c r="G111" s="8"/>
      <c r="H111" s="8"/>
      <c r="I111" s="8"/>
      <c r="J111" s="8"/>
    </row>
    <row r="112" spans="1:10" x14ac:dyDescent="0.3">
      <c r="A112" s="7"/>
      <c r="B112" s="8"/>
      <c r="C112" s="8"/>
      <c r="D112" s="9"/>
      <c r="E112" s="10"/>
      <c r="F112" s="11"/>
      <c r="G112" s="8"/>
      <c r="H112" s="8"/>
      <c r="I112" s="8"/>
      <c r="J112" s="8"/>
    </row>
    <row r="113" spans="1:10" x14ac:dyDescent="0.3">
      <c r="A113" s="7"/>
      <c r="B113" s="8"/>
      <c r="C113" s="8"/>
      <c r="D113" s="9"/>
      <c r="E113" s="10"/>
      <c r="F113" s="11"/>
      <c r="G113" s="8"/>
      <c r="H113" s="8"/>
      <c r="I113" s="8"/>
      <c r="J113" s="8"/>
    </row>
    <row r="114" spans="1:10" x14ac:dyDescent="0.3">
      <c r="A114" s="7"/>
      <c r="B114" s="8"/>
      <c r="C114" s="8"/>
      <c r="D114" s="9"/>
      <c r="E114" s="10"/>
      <c r="F114" s="11"/>
      <c r="G114" s="8"/>
      <c r="H114" s="8"/>
      <c r="I114" s="8"/>
      <c r="J114" s="8"/>
    </row>
    <row r="115" spans="1:10" x14ac:dyDescent="0.3">
      <c r="A115" s="7"/>
      <c r="B115" s="8"/>
      <c r="C115" s="8"/>
      <c r="D115" s="9"/>
      <c r="E115" s="10"/>
      <c r="F115" s="11"/>
      <c r="G115" s="8"/>
      <c r="H115" s="8"/>
      <c r="I115" s="8"/>
      <c r="J115" s="8"/>
    </row>
    <row r="116" spans="1:10" x14ac:dyDescent="0.3">
      <c r="A116" s="7"/>
      <c r="B116" s="8"/>
      <c r="C116" s="8"/>
      <c r="D116" s="9"/>
      <c r="E116" s="10"/>
      <c r="F116" s="11"/>
      <c r="G116" s="8"/>
      <c r="H116" s="8"/>
      <c r="I116" s="8"/>
      <c r="J116" s="8"/>
    </row>
    <row r="117" spans="1:10" x14ac:dyDescent="0.3">
      <c r="A117" s="7"/>
      <c r="B117" s="8"/>
      <c r="C117" s="8"/>
      <c r="D117" s="9"/>
      <c r="E117" s="10"/>
      <c r="F117" s="11"/>
      <c r="G117" s="8"/>
      <c r="H117" s="8"/>
      <c r="I117" s="8"/>
      <c r="J117" s="8"/>
    </row>
    <row r="118" spans="1:10" x14ac:dyDescent="0.3">
      <c r="A118" s="7"/>
      <c r="B118" s="8"/>
      <c r="C118" s="8"/>
      <c r="D118" s="9"/>
      <c r="E118" s="10"/>
      <c r="F118" s="11"/>
      <c r="G118" s="8"/>
      <c r="H118" s="8"/>
      <c r="I118" s="8"/>
      <c r="J118" s="8"/>
    </row>
    <row r="119" spans="1:10" x14ac:dyDescent="0.3">
      <c r="A119" s="7"/>
      <c r="B119" s="8"/>
      <c r="C119" s="8"/>
      <c r="D119" s="9"/>
      <c r="E119" s="10"/>
      <c r="F119" s="11"/>
      <c r="G119" s="8"/>
      <c r="H119" s="8"/>
      <c r="I119" s="8"/>
      <c r="J119" s="8"/>
    </row>
    <row r="120" spans="1:10" x14ac:dyDescent="0.3">
      <c r="A120" s="7"/>
      <c r="B120" s="8"/>
      <c r="C120" s="8"/>
      <c r="D120" s="9"/>
      <c r="E120" s="10"/>
      <c r="F120" s="11"/>
      <c r="G120" s="8"/>
      <c r="H120" s="8"/>
      <c r="I120" s="8"/>
      <c r="J120" s="8"/>
    </row>
    <row r="121" spans="1:10" x14ac:dyDescent="0.3">
      <c r="A121" s="7"/>
      <c r="B121" s="8"/>
      <c r="C121" s="8"/>
      <c r="D121" s="9"/>
      <c r="E121" s="10"/>
      <c r="F121" s="11"/>
      <c r="G121" s="8"/>
      <c r="H121" s="8"/>
      <c r="I121" s="8"/>
      <c r="J121" s="8"/>
    </row>
    <row r="122" spans="1:10" x14ac:dyDescent="0.3">
      <c r="A122" s="7"/>
      <c r="B122" s="8"/>
      <c r="C122" s="8"/>
      <c r="D122" s="9"/>
      <c r="E122" s="10"/>
      <c r="F122" s="11"/>
      <c r="G122" s="8"/>
      <c r="H122" s="8"/>
      <c r="I122" s="8"/>
      <c r="J122" s="8"/>
    </row>
    <row r="123" spans="1:10" x14ac:dyDescent="0.3">
      <c r="A123" s="7"/>
      <c r="B123" s="8"/>
      <c r="C123" s="8"/>
      <c r="D123" s="9"/>
      <c r="E123" s="10"/>
      <c r="F123" s="11"/>
      <c r="G123" s="8"/>
      <c r="H123" s="8"/>
      <c r="I123" s="8"/>
      <c r="J123" s="8"/>
    </row>
    <row r="124" spans="1:10" x14ac:dyDescent="0.3">
      <c r="A124" s="7"/>
      <c r="B124" s="8"/>
      <c r="C124" s="8"/>
      <c r="D124" s="9"/>
      <c r="E124" s="10"/>
      <c r="F124" s="11"/>
      <c r="G124" s="8"/>
      <c r="H124" s="8"/>
      <c r="I124" s="8"/>
      <c r="J124" s="8"/>
    </row>
    <row r="125" spans="1:10" x14ac:dyDescent="0.3">
      <c r="A125" s="7"/>
      <c r="B125" s="8"/>
      <c r="C125" s="8"/>
      <c r="D125" s="9"/>
      <c r="E125" s="10"/>
      <c r="F125" s="11"/>
      <c r="G125" s="8"/>
      <c r="H125" s="8"/>
      <c r="I125" s="8"/>
      <c r="J125" s="8"/>
    </row>
    <row r="126" spans="1:10" x14ac:dyDescent="0.3">
      <c r="A126" s="7"/>
      <c r="B126" s="8"/>
      <c r="C126" s="8"/>
      <c r="D126" s="9"/>
      <c r="E126" s="10"/>
      <c r="F126" s="11"/>
      <c r="G126" s="8"/>
      <c r="H126" s="8"/>
      <c r="I126" s="8"/>
      <c r="J126" s="8"/>
    </row>
    <row r="127" spans="1:10" x14ac:dyDescent="0.3">
      <c r="A127" s="7"/>
      <c r="B127" s="8"/>
      <c r="C127" s="8"/>
      <c r="D127" s="9"/>
      <c r="E127" s="10"/>
      <c r="F127" s="11"/>
      <c r="G127" s="8"/>
      <c r="H127" s="8"/>
      <c r="I127" s="8"/>
      <c r="J127" s="8"/>
    </row>
    <row r="128" spans="1:10" x14ac:dyDescent="0.3">
      <c r="A128" s="7"/>
      <c r="B128" s="8"/>
      <c r="C128" s="8"/>
      <c r="D128" s="9"/>
      <c r="E128" s="10"/>
      <c r="F128" s="11"/>
      <c r="G128" s="8"/>
      <c r="H128" s="8"/>
      <c r="I128" s="8"/>
      <c r="J128" s="8"/>
    </row>
    <row r="129" spans="1:10" x14ac:dyDescent="0.3">
      <c r="A129" s="7"/>
      <c r="B129" s="8"/>
      <c r="C129" s="8"/>
      <c r="D129" s="9"/>
      <c r="E129" s="10"/>
      <c r="F129" s="11"/>
      <c r="G129" s="8"/>
      <c r="H129" s="8"/>
      <c r="I129" s="8"/>
      <c r="J129" s="8"/>
    </row>
    <row r="130" spans="1:10" x14ac:dyDescent="0.3">
      <c r="A130" s="7"/>
      <c r="B130" s="8"/>
      <c r="C130" s="8"/>
      <c r="D130" s="9"/>
      <c r="E130" s="10"/>
      <c r="F130" s="11"/>
      <c r="G130" s="8"/>
      <c r="H130" s="8"/>
      <c r="I130" s="8"/>
      <c r="J130" s="8"/>
    </row>
    <row r="131" spans="1:10" x14ac:dyDescent="0.3">
      <c r="A131" s="7"/>
      <c r="B131" s="8"/>
      <c r="C131" s="8"/>
      <c r="D131" s="9"/>
      <c r="E131" s="10"/>
      <c r="F131" s="11"/>
      <c r="G131" s="8"/>
      <c r="H131" s="8"/>
      <c r="I131" s="8"/>
      <c r="J131" s="8"/>
    </row>
    <row r="132" spans="1:10" x14ac:dyDescent="0.3">
      <c r="A132" s="7"/>
      <c r="B132" s="8"/>
      <c r="C132" s="8"/>
      <c r="D132" s="9"/>
      <c r="E132" s="10"/>
      <c r="F132" s="11"/>
      <c r="G132" s="8"/>
      <c r="H132" s="8"/>
      <c r="I132" s="8"/>
      <c r="J132" s="8"/>
    </row>
    <row r="133" spans="1:10" x14ac:dyDescent="0.3">
      <c r="A133" s="7"/>
      <c r="B133" s="8"/>
      <c r="C133" s="8"/>
      <c r="D133" s="9"/>
      <c r="E133" s="10"/>
      <c r="F133" s="11"/>
      <c r="G133" s="8"/>
      <c r="H133" s="8"/>
      <c r="I133" s="8"/>
      <c r="J133" s="8"/>
    </row>
    <row r="134" spans="1:10" x14ac:dyDescent="0.3">
      <c r="A134" s="7"/>
      <c r="B134" s="8"/>
      <c r="C134" s="8"/>
      <c r="D134" s="9"/>
      <c r="E134" s="10"/>
      <c r="F134" s="11"/>
      <c r="G134" s="8"/>
      <c r="H134" s="8"/>
      <c r="I134" s="8"/>
      <c r="J134" s="8"/>
    </row>
    <row r="135" spans="1:10" x14ac:dyDescent="0.3">
      <c r="A135" s="7"/>
      <c r="B135" s="8"/>
      <c r="C135" s="8"/>
      <c r="D135" s="9"/>
      <c r="E135" s="10"/>
      <c r="F135" s="11"/>
      <c r="G135" s="8"/>
      <c r="H135" s="8"/>
      <c r="I135" s="8"/>
      <c r="J135" s="8"/>
    </row>
    <row r="136" spans="1:10" x14ac:dyDescent="0.3">
      <c r="A136" s="7"/>
      <c r="B136" s="8"/>
      <c r="C136" s="8"/>
      <c r="D136" s="9"/>
      <c r="E136" s="10"/>
      <c r="F136" s="11"/>
      <c r="G136" s="8"/>
      <c r="H136" s="8"/>
      <c r="I136" s="8"/>
      <c r="J136" s="8"/>
    </row>
    <row r="137" spans="1:10" x14ac:dyDescent="0.3">
      <c r="A137" s="7"/>
      <c r="B137" s="8"/>
      <c r="C137" s="8"/>
      <c r="D137" s="9"/>
      <c r="E137" s="10"/>
      <c r="F137" s="11"/>
      <c r="G137" s="8"/>
      <c r="H137" s="8"/>
      <c r="I137" s="8"/>
      <c r="J137" s="8"/>
    </row>
    <row r="138" spans="1:10" x14ac:dyDescent="0.3">
      <c r="A138" s="7"/>
      <c r="B138" s="8"/>
      <c r="C138" s="8"/>
      <c r="D138" s="9"/>
      <c r="E138" s="10"/>
      <c r="F138" s="11"/>
      <c r="G138" s="8"/>
      <c r="H138" s="8"/>
      <c r="I138" s="8"/>
      <c r="J138" s="8"/>
    </row>
    <row r="139" spans="1:10" x14ac:dyDescent="0.3">
      <c r="A139" s="7"/>
      <c r="B139" s="8"/>
      <c r="C139" s="8"/>
      <c r="D139" s="9"/>
      <c r="E139" s="10"/>
      <c r="F139" s="11"/>
      <c r="G139" s="8"/>
      <c r="H139" s="8"/>
      <c r="I139" s="8"/>
      <c r="J139" s="8"/>
    </row>
    <row r="140" spans="1:10" x14ac:dyDescent="0.3">
      <c r="A140" s="7"/>
      <c r="B140" s="8"/>
      <c r="C140" s="8"/>
      <c r="D140" s="9"/>
      <c r="E140" s="10"/>
      <c r="F140" s="11"/>
      <c r="G140" s="8"/>
      <c r="H140" s="8"/>
      <c r="I140" s="8"/>
      <c r="J140" s="8"/>
    </row>
    <row r="141" spans="1:10" x14ac:dyDescent="0.3">
      <c r="A141" s="7"/>
      <c r="B141" s="8"/>
      <c r="C141" s="8"/>
      <c r="D141" s="9"/>
      <c r="E141" s="10"/>
      <c r="F141" s="11"/>
      <c r="G141" s="8"/>
      <c r="H141" s="8"/>
      <c r="I141" s="8"/>
      <c r="J141" s="8"/>
    </row>
    <row r="142" spans="1:10" x14ac:dyDescent="0.3">
      <c r="A142" s="7"/>
      <c r="B142" s="8"/>
      <c r="C142" s="8"/>
      <c r="D142" s="9"/>
      <c r="E142" s="10"/>
      <c r="F142" s="11"/>
      <c r="G142" s="8"/>
      <c r="H142" s="8"/>
      <c r="I142" s="8"/>
      <c r="J142" s="8"/>
    </row>
    <row r="143" spans="1:10" x14ac:dyDescent="0.3">
      <c r="A143" s="7"/>
      <c r="B143" s="8"/>
      <c r="C143" s="8"/>
      <c r="D143" s="9"/>
      <c r="E143" s="10"/>
      <c r="F143" s="11"/>
      <c r="G143" s="8"/>
      <c r="H143" s="8"/>
      <c r="I143" s="8"/>
      <c r="J143" s="8"/>
    </row>
    <row r="144" spans="1:10" x14ac:dyDescent="0.3">
      <c r="A144" s="7"/>
      <c r="B144" s="8"/>
      <c r="C144" s="8"/>
      <c r="D144" s="9"/>
      <c r="E144" s="10"/>
      <c r="F144" s="11"/>
      <c r="G144" s="8"/>
      <c r="H144" s="8"/>
      <c r="I144" s="8"/>
      <c r="J144" s="8"/>
    </row>
    <row r="145" spans="1:10" x14ac:dyDescent="0.3">
      <c r="A145" s="7"/>
      <c r="B145" s="8"/>
      <c r="C145" s="8"/>
      <c r="D145" s="9"/>
      <c r="E145" s="10"/>
      <c r="F145" s="11"/>
      <c r="G145" s="8"/>
      <c r="H145" s="8"/>
      <c r="I145" s="8"/>
      <c r="J145" s="8"/>
    </row>
    <row r="146" spans="1:10" x14ac:dyDescent="0.3">
      <c r="A146" s="7"/>
      <c r="B146" s="8"/>
      <c r="C146" s="8"/>
      <c r="D146" s="9"/>
      <c r="E146" s="10"/>
      <c r="F146" s="11"/>
      <c r="G146" s="8"/>
      <c r="H146" s="8"/>
      <c r="I146" s="8"/>
      <c r="J146" s="8"/>
    </row>
    <row r="147" spans="1:10" x14ac:dyDescent="0.3">
      <c r="A147" s="7"/>
      <c r="B147" s="8"/>
      <c r="C147" s="8"/>
      <c r="D147" s="9"/>
      <c r="E147" s="10"/>
      <c r="F147" s="11"/>
      <c r="G147" s="8"/>
      <c r="H147" s="8"/>
      <c r="I147" s="8"/>
      <c r="J147" s="8"/>
    </row>
    <row r="148" spans="1:10" x14ac:dyDescent="0.3">
      <c r="A148" s="7"/>
      <c r="B148" s="8"/>
      <c r="C148" s="8"/>
      <c r="D148" s="9"/>
      <c r="E148" s="10"/>
      <c r="F148" s="11"/>
      <c r="G148" s="8"/>
      <c r="H148" s="8"/>
      <c r="I148" s="8"/>
      <c r="J148" s="8"/>
    </row>
    <row r="149" spans="1:10" x14ac:dyDescent="0.3">
      <c r="A149" s="7"/>
      <c r="B149" s="8"/>
      <c r="C149" s="8"/>
      <c r="D149" s="9"/>
      <c r="E149" s="10"/>
      <c r="F149" s="11"/>
      <c r="G149" s="8"/>
      <c r="H149" s="8"/>
      <c r="I149" s="8"/>
      <c r="J149" s="8"/>
    </row>
    <row r="150" spans="1:10" x14ac:dyDescent="0.3">
      <c r="A150" s="7"/>
      <c r="B150" s="8"/>
      <c r="C150" s="8"/>
      <c r="D150" s="9"/>
      <c r="E150" s="10"/>
      <c r="F150" s="11"/>
      <c r="G150" s="8"/>
      <c r="H150" s="8"/>
      <c r="I150" s="8"/>
      <c r="J150" s="8"/>
    </row>
    <row r="151" spans="1:10" x14ac:dyDescent="0.3">
      <c r="A151" s="7"/>
      <c r="B151" s="8"/>
      <c r="C151" s="8"/>
      <c r="D151" s="9"/>
      <c r="E151" s="10"/>
      <c r="F151" s="11"/>
      <c r="G151" s="8"/>
      <c r="H151" s="8"/>
      <c r="I151" s="8"/>
      <c r="J151" s="8"/>
    </row>
    <row r="152" spans="1:10" x14ac:dyDescent="0.3">
      <c r="A152" s="7"/>
      <c r="B152" s="8"/>
      <c r="C152" s="8"/>
      <c r="D152" s="9"/>
      <c r="E152" s="10"/>
      <c r="F152" s="11"/>
      <c r="G152" s="8"/>
      <c r="H152" s="8"/>
      <c r="I152" s="8"/>
      <c r="J152" s="8"/>
    </row>
    <row r="153" spans="1:10" x14ac:dyDescent="0.3">
      <c r="A153" s="7"/>
      <c r="B153" s="8"/>
      <c r="C153" s="8"/>
      <c r="D153" s="9"/>
      <c r="E153" s="10"/>
      <c r="F153" s="11"/>
      <c r="G153" s="8"/>
      <c r="H153" s="8"/>
      <c r="I153" s="8"/>
      <c r="J153" s="8"/>
    </row>
    <row r="154" spans="1:10" x14ac:dyDescent="0.3">
      <c r="A154" s="7"/>
      <c r="B154" s="8"/>
      <c r="C154" s="8"/>
      <c r="D154" s="9"/>
      <c r="E154" s="10"/>
      <c r="F154" s="11"/>
      <c r="G154" s="8"/>
      <c r="H154" s="8"/>
      <c r="I154" s="8"/>
      <c r="J154" s="8"/>
    </row>
    <row r="155" spans="1:10" x14ac:dyDescent="0.3">
      <c r="A155" s="7"/>
      <c r="B155" s="8"/>
      <c r="C155" s="8"/>
      <c r="D155" s="9"/>
      <c r="E155" s="10"/>
      <c r="F155" s="11"/>
      <c r="G155" s="8"/>
      <c r="H155" s="8"/>
      <c r="I155" s="8"/>
      <c r="J155" s="8"/>
    </row>
    <row r="156" spans="1:10" x14ac:dyDescent="0.3">
      <c r="A156" s="7"/>
      <c r="B156" s="8"/>
      <c r="C156" s="8"/>
      <c r="D156" s="9"/>
      <c r="E156" s="10"/>
      <c r="F156" s="11"/>
      <c r="G156" s="8"/>
      <c r="H156" s="8"/>
      <c r="I156" s="8"/>
      <c r="J156" s="8"/>
    </row>
    <row r="157" spans="1:10" x14ac:dyDescent="0.3">
      <c r="A157" s="7"/>
      <c r="B157" s="8"/>
      <c r="C157" s="8"/>
      <c r="D157" s="9"/>
      <c r="E157" s="10"/>
      <c r="F157" s="11"/>
      <c r="G157" s="8"/>
      <c r="H157" s="8"/>
      <c r="I157" s="8"/>
      <c r="J157" s="8"/>
    </row>
    <row r="158" spans="1:10" x14ac:dyDescent="0.3">
      <c r="A158" s="7"/>
      <c r="B158" s="8"/>
      <c r="C158" s="8"/>
      <c r="D158" s="9"/>
      <c r="E158" s="10"/>
      <c r="F158" s="11"/>
      <c r="G158" s="8"/>
      <c r="H158" s="8"/>
      <c r="I158" s="8"/>
      <c r="J158" s="8"/>
    </row>
    <row r="159" spans="1:10" x14ac:dyDescent="0.3">
      <c r="A159" s="7"/>
      <c r="B159" s="8"/>
      <c r="C159" s="8"/>
      <c r="D159" s="9"/>
      <c r="E159" s="10"/>
      <c r="F159" s="11"/>
      <c r="G159" s="8"/>
      <c r="H159" s="8"/>
      <c r="I159" s="8"/>
      <c r="J159" s="8"/>
    </row>
    <row r="160" spans="1:10" x14ac:dyDescent="0.3">
      <c r="A160" s="7"/>
      <c r="B160" s="8"/>
      <c r="C160" s="8"/>
      <c r="D160" s="9"/>
      <c r="E160" s="10"/>
      <c r="F160" s="11"/>
      <c r="G160" s="8"/>
      <c r="H160" s="8"/>
      <c r="I160" s="8"/>
      <c r="J160" s="8"/>
    </row>
    <row r="161" spans="1:10" x14ac:dyDescent="0.3">
      <c r="A161" s="7"/>
      <c r="B161" s="8"/>
      <c r="C161" s="8"/>
      <c r="D161" s="9"/>
      <c r="E161" s="10"/>
      <c r="F161" s="11"/>
      <c r="G161" s="8"/>
      <c r="H161" s="8"/>
      <c r="I161" s="8"/>
      <c r="J161" s="8"/>
    </row>
    <row r="162" spans="1:10" x14ac:dyDescent="0.3">
      <c r="A162" s="7"/>
      <c r="B162" s="8"/>
      <c r="C162" s="8"/>
      <c r="D162" s="9"/>
      <c r="E162" s="10"/>
      <c r="F162" s="11"/>
      <c r="G162" s="8"/>
      <c r="H162" s="8"/>
      <c r="I162" s="8"/>
      <c r="J162" s="8"/>
    </row>
    <row r="163" spans="1:10" x14ac:dyDescent="0.3">
      <c r="A163" s="7"/>
      <c r="B163" s="8"/>
      <c r="C163" s="8"/>
      <c r="D163" s="9"/>
      <c r="E163" s="10"/>
      <c r="F163" s="11"/>
      <c r="G163" s="8"/>
      <c r="H163" s="8"/>
      <c r="I163" s="8"/>
      <c r="J163" s="8"/>
    </row>
    <row r="164" spans="1:10" x14ac:dyDescent="0.3">
      <c r="A164" s="7"/>
      <c r="B164" s="8"/>
      <c r="C164" s="8"/>
      <c r="D164" s="9"/>
      <c r="E164" s="10"/>
      <c r="F164" s="11"/>
      <c r="G164" s="8"/>
      <c r="H164" s="8"/>
      <c r="I164" s="8"/>
      <c r="J164" s="8"/>
    </row>
    <row r="165" spans="1:10" x14ac:dyDescent="0.3">
      <c r="A165" s="7"/>
      <c r="B165" s="8"/>
      <c r="C165" s="8"/>
      <c r="D165" s="9"/>
      <c r="E165" s="10"/>
      <c r="F165" s="11"/>
      <c r="G165" s="8"/>
      <c r="H165" s="8"/>
      <c r="I165" s="8"/>
      <c r="J165" s="8"/>
    </row>
    <row r="166" spans="1:10" x14ac:dyDescent="0.3">
      <c r="A166" s="7"/>
      <c r="B166" s="8"/>
      <c r="C166" s="8"/>
      <c r="D166" s="9"/>
      <c r="E166" s="10"/>
      <c r="F166" s="11"/>
      <c r="G166" s="8"/>
      <c r="H166" s="8"/>
      <c r="I166" s="8"/>
      <c r="J166" s="8"/>
    </row>
    <row r="167" spans="1:10" x14ac:dyDescent="0.3">
      <c r="A167" s="7"/>
      <c r="B167" s="8"/>
      <c r="C167" s="8"/>
      <c r="D167" s="9"/>
      <c r="E167" s="10"/>
      <c r="F167" s="11"/>
      <c r="G167" s="8"/>
      <c r="H167" s="8"/>
      <c r="I167" s="8"/>
      <c r="J167" s="8"/>
    </row>
    <row r="168" spans="1:10" x14ac:dyDescent="0.3">
      <c r="A168" s="7"/>
      <c r="B168" s="8"/>
      <c r="C168" s="8"/>
      <c r="D168" s="9"/>
      <c r="E168" s="10"/>
      <c r="F168" s="11"/>
      <c r="G168" s="8"/>
      <c r="H168" s="8"/>
      <c r="I168" s="8"/>
      <c r="J168" s="8"/>
    </row>
    <row r="169" spans="1:10" x14ac:dyDescent="0.3">
      <c r="A169" s="7"/>
      <c r="B169" s="8"/>
      <c r="C169" s="8"/>
      <c r="D169" s="9"/>
      <c r="E169" s="10"/>
      <c r="F169" s="11"/>
      <c r="G169" s="8"/>
      <c r="H169" s="8"/>
      <c r="I169" s="8"/>
      <c r="J169" s="8"/>
    </row>
    <row r="170" spans="1:10" x14ac:dyDescent="0.3">
      <c r="A170" s="7"/>
      <c r="B170" s="8"/>
      <c r="C170" s="8"/>
      <c r="D170" s="9"/>
      <c r="E170" s="10"/>
      <c r="F170" s="11"/>
      <c r="G170" s="8"/>
      <c r="H170" s="8"/>
      <c r="I170" s="8"/>
      <c r="J170" s="8"/>
    </row>
    <row r="171" spans="1:10" x14ac:dyDescent="0.3">
      <c r="A171" s="7"/>
      <c r="B171" s="8"/>
      <c r="C171" s="8"/>
      <c r="D171" s="9"/>
      <c r="E171" s="10"/>
      <c r="F171" s="11"/>
      <c r="G171" s="8"/>
      <c r="H171" s="8"/>
      <c r="I171" s="8"/>
      <c r="J171" s="8"/>
    </row>
    <row r="172" spans="1:10" x14ac:dyDescent="0.3">
      <c r="A172" s="7"/>
      <c r="B172" s="8"/>
      <c r="C172" s="8"/>
      <c r="D172" s="9"/>
      <c r="E172" s="10"/>
      <c r="F172" s="11"/>
      <c r="G172" s="8"/>
      <c r="H172" s="8"/>
      <c r="I172" s="8"/>
      <c r="J172" s="8"/>
    </row>
    <row r="173" spans="1:10" x14ac:dyDescent="0.3">
      <c r="A173" s="7"/>
      <c r="B173" s="8"/>
      <c r="C173" s="8"/>
      <c r="D173" s="9"/>
      <c r="E173" s="10"/>
      <c r="F173" s="11"/>
      <c r="G173" s="8"/>
      <c r="H173" s="8"/>
      <c r="I173" s="8"/>
      <c r="J173" s="8"/>
    </row>
    <row r="174" spans="1:10" x14ac:dyDescent="0.3">
      <c r="A174" s="7"/>
      <c r="B174" s="8"/>
      <c r="C174" s="8"/>
      <c r="D174" s="9"/>
      <c r="E174" s="10"/>
      <c r="F174" s="11"/>
      <c r="G174" s="8"/>
      <c r="H174" s="8"/>
      <c r="I174" s="8"/>
      <c r="J174" s="8"/>
    </row>
    <row r="175" spans="1:10" x14ac:dyDescent="0.3">
      <c r="A175" s="7"/>
      <c r="B175" s="8"/>
      <c r="C175" s="8"/>
      <c r="D175" s="9"/>
      <c r="E175" s="10"/>
      <c r="F175" s="11"/>
      <c r="G175" s="8"/>
      <c r="H175" s="8"/>
      <c r="I175" s="8"/>
      <c r="J175" s="8"/>
    </row>
    <row r="176" spans="1:10" x14ac:dyDescent="0.3">
      <c r="A176" s="7"/>
      <c r="B176" s="8"/>
      <c r="C176" s="8"/>
      <c r="D176" s="9"/>
      <c r="E176" s="10"/>
      <c r="F176" s="11"/>
      <c r="G176" s="8"/>
      <c r="H176" s="8"/>
      <c r="I176" s="8"/>
      <c r="J176" s="8"/>
    </row>
    <row r="177" spans="1:10" x14ac:dyDescent="0.3">
      <c r="A177" s="7"/>
      <c r="B177" s="8"/>
      <c r="C177" s="8"/>
      <c r="D177" s="9"/>
      <c r="E177" s="10"/>
      <c r="F177" s="11"/>
      <c r="G177" s="8"/>
      <c r="H177" s="8"/>
      <c r="I177" s="8"/>
      <c r="J177" s="8"/>
    </row>
    <row r="178" spans="1:10" x14ac:dyDescent="0.3">
      <c r="A178" s="7"/>
      <c r="B178" s="8"/>
      <c r="C178" s="8"/>
      <c r="D178" s="9"/>
      <c r="E178" s="10"/>
      <c r="F178" s="11"/>
      <c r="G178" s="8"/>
      <c r="H178" s="8"/>
      <c r="I178" s="8"/>
      <c r="J178" s="8"/>
    </row>
    <row r="179" spans="1:10" x14ac:dyDescent="0.3">
      <c r="A179" s="7"/>
      <c r="B179" s="8"/>
      <c r="C179" s="8"/>
      <c r="D179" s="9"/>
      <c r="E179" s="10"/>
      <c r="F179" s="11"/>
      <c r="G179" s="8"/>
      <c r="H179" s="8"/>
      <c r="I179" s="8"/>
      <c r="J179" s="8"/>
    </row>
    <row r="180" spans="1:10" x14ac:dyDescent="0.3">
      <c r="A180" s="7"/>
      <c r="B180" s="8"/>
      <c r="C180" s="8"/>
      <c r="D180" s="9"/>
      <c r="E180" s="10"/>
      <c r="F180" s="11"/>
      <c r="G180" s="8"/>
      <c r="H180" s="8"/>
      <c r="I180" s="8"/>
      <c r="J180" s="8"/>
    </row>
    <row r="181" spans="1:10" x14ac:dyDescent="0.3">
      <c r="A181" s="7"/>
      <c r="B181" s="8"/>
      <c r="C181" s="8"/>
      <c r="D181" s="9"/>
      <c r="E181" s="10"/>
      <c r="F181" s="11"/>
      <c r="G181" s="8"/>
      <c r="H181" s="8"/>
      <c r="I181" s="8"/>
      <c r="J181" s="8"/>
    </row>
    <row r="182" spans="1:10" x14ac:dyDescent="0.3">
      <c r="A182" s="7"/>
      <c r="B182" s="8"/>
      <c r="C182" s="8"/>
      <c r="D182" s="9"/>
      <c r="E182" s="10"/>
      <c r="F182" s="11"/>
      <c r="G182" s="8"/>
      <c r="H182" s="8"/>
      <c r="I182" s="8"/>
      <c r="J182" s="8"/>
    </row>
    <row r="183" spans="1:10" x14ac:dyDescent="0.3">
      <c r="A183" s="7"/>
      <c r="B183" s="8"/>
      <c r="C183" s="8"/>
      <c r="D183" s="9"/>
      <c r="E183" s="10"/>
      <c r="F183" s="11"/>
      <c r="G183" s="8"/>
      <c r="H183" s="8"/>
      <c r="I183" s="8"/>
      <c r="J183" s="8"/>
    </row>
    <row r="184" spans="1:10" x14ac:dyDescent="0.3">
      <c r="A184" s="7"/>
      <c r="B184" s="8"/>
      <c r="C184" s="8"/>
      <c r="D184" s="9"/>
      <c r="E184" s="10"/>
      <c r="F184" s="11"/>
      <c r="G184" s="8"/>
      <c r="H184" s="8"/>
      <c r="I184" s="8"/>
      <c r="J184" s="8"/>
    </row>
    <row r="185" spans="1:10" x14ac:dyDescent="0.3">
      <c r="A185" s="7"/>
      <c r="B185" s="8"/>
      <c r="C185" s="8"/>
      <c r="D185" s="9"/>
      <c r="E185" s="10"/>
      <c r="F185" s="11"/>
      <c r="G185" s="8"/>
      <c r="H185" s="8"/>
      <c r="I185" s="8"/>
      <c r="J185" s="8"/>
    </row>
    <row r="186" spans="1:10" x14ac:dyDescent="0.3">
      <c r="A186" s="7"/>
      <c r="B186" s="8"/>
      <c r="C186" s="8"/>
      <c r="D186" s="9"/>
      <c r="E186" s="10"/>
      <c r="F186" s="11"/>
      <c r="G186" s="8"/>
      <c r="H186" s="8"/>
      <c r="I186" s="8"/>
      <c r="J186" s="8"/>
    </row>
    <row r="187" spans="1:10" x14ac:dyDescent="0.3">
      <c r="A187" s="7"/>
      <c r="B187" s="8"/>
      <c r="C187" s="8"/>
      <c r="D187" s="9"/>
      <c r="E187" s="10"/>
      <c r="F187" s="11"/>
      <c r="G187" s="8"/>
      <c r="H187" s="8"/>
      <c r="I187" s="8"/>
      <c r="J187" s="8"/>
    </row>
    <row r="188" spans="1:10" x14ac:dyDescent="0.3">
      <c r="A188" s="7"/>
      <c r="B188" s="8"/>
      <c r="C188" s="8"/>
      <c r="D188" s="9"/>
      <c r="E188" s="10"/>
      <c r="F188" s="11"/>
      <c r="G188" s="8"/>
      <c r="H188" s="8"/>
      <c r="I188" s="8"/>
      <c r="J188" s="8"/>
    </row>
    <row r="189" spans="1:10" x14ac:dyDescent="0.3">
      <c r="A189" s="7"/>
      <c r="B189" s="8"/>
      <c r="C189" s="8"/>
      <c r="D189" s="9"/>
      <c r="E189" s="10"/>
      <c r="F189" s="11"/>
      <c r="G189" s="8"/>
      <c r="H189" s="8"/>
      <c r="I189" s="8"/>
      <c r="J189" s="8"/>
    </row>
    <row r="190" spans="1:10" x14ac:dyDescent="0.3">
      <c r="A190" s="7"/>
      <c r="B190" s="8"/>
      <c r="C190" s="8"/>
      <c r="D190" s="9"/>
      <c r="E190" s="10"/>
      <c r="F190" s="11"/>
      <c r="G190" s="8"/>
      <c r="H190" s="8"/>
      <c r="I190" s="8"/>
      <c r="J190" s="8"/>
    </row>
    <row r="191" spans="1:10" x14ac:dyDescent="0.3">
      <c r="A191" s="7"/>
      <c r="B191" s="8"/>
      <c r="C191" s="8"/>
      <c r="D191" s="9"/>
      <c r="E191" s="10"/>
      <c r="F191" s="11"/>
      <c r="G191" s="8"/>
      <c r="H191" s="8"/>
      <c r="I191" s="8"/>
      <c r="J191" s="8"/>
    </row>
    <row r="192" spans="1:10" x14ac:dyDescent="0.3">
      <c r="A192" s="7"/>
      <c r="B192" s="8"/>
      <c r="C192" s="8"/>
      <c r="D192" s="9"/>
      <c r="E192" s="10"/>
      <c r="F192" s="11"/>
      <c r="G192" s="8"/>
      <c r="H192" s="8"/>
      <c r="I192" s="8"/>
      <c r="J192" s="8"/>
    </row>
    <row r="193" spans="1:10" x14ac:dyDescent="0.3">
      <c r="A193" s="7"/>
      <c r="B193" s="8"/>
      <c r="C193" s="8"/>
      <c r="D193" s="9"/>
      <c r="E193" s="10"/>
      <c r="F193" s="11"/>
      <c r="G193" s="8"/>
      <c r="H193" s="8"/>
      <c r="I193" s="8"/>
      <c r="J193" s="8"/>
    </row>
    <row r="194" spans="1:10" x14ac:dyDescent="0.3">
      <c r="A194" s="7"/>
      <c r="B194" s="8"/>
      <c r="C194" s="8"/>
      <c r="D194" s="9"/>
      <c r="E194" s="10"/>
      <c r="F194" s="11"/>
      <c r="G194" s="8"/>
      <c r="H194" s="8"/>
      <c r="I194" s="8"/>
      <c r="J194" s="8"/>
    </row>
    <row r="195" spans="1:10" x14ac:dyDescent="0.3">
      <c r="A195" s="7"/>
      <c r="B195" s="8"/>
      <c r="C195" s="8"/>
      <c r="D195" s="9"/>
      <c r="E195" s="10"/>
      <c r="F195" s="11"/>
      <c r="G195" s="8"/>
      <c r="H195" s="8"/>
      <c r="I195" s="8"/>
      <c r="J195" s="8"/>
    </row>
    <row r="196" spans="1:10" x14ac:dyDescent="0.3">
      <c r="A196" s="7"/>
      <c r="B196" s="8"/>
      <c r="C196" s="8"/>
      <c r="D196" s="9"/>
      <c r="E196" s="10"/>
      <c r="F196" s="11"/>
      <c r="G196" s="8"/>
      <c r="H196" s="8"/>
      <c r="I196" s="8"/>
      <c r="J196" s="8"/>
    </row>
    <row r="197" spans="1:10" x14ac:dyDescent="0.3">
      <c r="A197" s="7"/>
      <c r="B197" s="8"/>
      <c r="C197" s="8"/>
      <c r="D197" s="9"/>
      <c r="E197" s="10"/>
      <c r="F197" s="11"/>
      <c r="G197" s="8"/>
      <c r="H197" s="8"/>
      <c r="I197" s="8"/>
      <c r="J197" s="8"/>
    </row>
    <row r="198" spans="1:10" x14ac:dyDescent="0.3">
      <c r="A198" s="7"/>
      <c r="B198" s="8"/>
      <c r="C198" s="8"/>
      <c r="D198" s="9"/>
      <c r="E198" s="10"/>
      <c r="F198" s="11"/>
      <c r="G198" s="8"/>
      <c r="H198" s="8"/>
      <c r="I198" s="8"/>
      <c r="J198" s="8"/>
    </row>
    <row r="199" spans="1:10" x14ac:dyDescent="0.3">
      <c r="A199" s="7"/>
      <c r="B199" s="8"/>
      <c r="C199" s="8"/>
      <c r="D199" s="9"/>
      <c r="E199" s="10"/>
      <c r="F199" s="11"/>
      <c r="G199" s="8"/>
      <c r="H199" s="8"/>
      <c r="I199" s="8"/>
      <c r="J199" s="8"/>
    </row>
    <row r="200" spans="1:10" x14ac:dyDescent="0.3">
      <c r="A200" s="7"/>
      <c r="B200" s="8"/>
      <c r="C200" s="8"/>
      <c r="D200" s="9"/>
      <c r="E200" s="10"/>
      <c r="F200" s="11"/>
      <c r="G200" s="8"/>
      <c r="H200" s="8"/>
      <c r="I200" s="8"/>
      <c r="J200" s="8"/>
    </row>
    <row r="201" spans="1:10" x14ac:dyDescent="0.3">
      <c r="A201" s="7"/>
      <c r="B201" s="8"/>
      <c r="C201" s="8"/>
      <c r="D201" s="9"/>
      <c r="E201" s="10"/>
      <c r="F201" s="11"/>
      <c r="G201" s="8"/>
      <c r="H201" s="8"/>
      <c r="I201" s="8"/>
      <c r="J201" s="8"/>
    </row>
    <row r="202" spans="1:10" x14ac:dyDescent="0.3">
      <c r="A202" s="7"/>
      <c r="B202" s="8"/>
      <c r="C202" s="8"/>
      <c r="D202" s="9"/>
      <c r="E202" s="10"/>
      <c r="F202" s="11"/>
      <c r="G202" s="8"/>
      <c r="H202" s="8"/>
      <c r="I202" s="8"/>
      <c r="J202" s="8"/>
    </row>
    <row r="203" spans="1:10" x14ac:dyDescent="0.3">
      <c r="A203" s="7"/>
      <c r="B203" s="8"/>
      <c r="C203" s="8"/>
      <c r="D203" s="9"/>
      <c r="E203" s="10"/>
      <c r="F203" s="11"/>
      <c r="G203" s="8"/>
      <c r="H203" s="8"/>
      <c r="I203" s="8"/>
      <c r="J203" s="8"/>
    </row>
    <row r="204" spans="1:10" x14ac:dyDescent="0.3">
      <c r="A204" s="7"/>
      <c r="B204" s="8"/>
      <c r="C204" s="8"/>
      <c r="D204" s="9"/>
      <c r="E204" s="10"/>
      <c r="F204" s="11"/>
      <c r="G204" s="8"/>
      <c r="H204" s="8"/>
      <c r="I204" s="8"/>
      <c r="J204" s="8"/>
    </row>
    <row r="205" spans="1:10" x14ac:dyDescent="0.3">
      <c r="A205" s="7"/>
      <c r="B205" s="8"/>
      <c r="C205" s="8"/>
      <c r="D205" s="9"/>
      <c r="E205" s="10"/>
      <c r="F205" s="11"/>
      <c r="G205" s="8"/>
      <c r="H205" s="8"/>
      <c r="I205" s="8"/>
      <c r="J205" s="8"/>
    </row>
    <row r="206" spans="1:10" x14ac:dyDescent="0.3">
      <c r="A206" s="7"/>
      <c r="B206" s="8"/>
      <c r="C206" s="8"/>
      <c r="D206" s="9"/>
      <c r="E206" s="10"/>
      <c r="F206" s="11"/>
      <c r="G206" s="8"/>
      <c r="H206" s="8"/>
      <c r="I206" s="8"/>
      <c r="J206" s="8"/>
    </row>
    <row r="207" spans="1:10" x14ac:dyDescent="0.3">
      <c r="A207" s="7"/>
      <c r="B207" s="8"/>
      <c r="C207" s="8"/>
      <c r="D207" s="9"/>
      <c r="E207" s="10"/>
      <c r="F207" s="11"/>
      <c r="G207" s="8"/>
      <c r="H207" s="8"/>
      <c r="I207" s="8"/>
      <c r="J207" s="8"/>
    </row>
    <row r="208" spans="1:10" x14ac:dyDescent="0.3">
      <c r="A208" s="7"/>
      <c r="B208" s="8"/>
      <c r="C208" s="8"/>
      <c r="D208" s="9"/>
      <c r="E208" s="10"/>
      <c r="F208" s="11"/>
      <c r="G208" s="8"/>
      <c r="H208" s="8"/>
      <c r="I208" s="8"/>
      <c r="J208" s="8"/>
    </row>
    <row r="209" spans="1:10" x14ac:dyDescent="0.3">
      <c r="A209" s="7"/>
      <c r="B209" s="8"/>
      <c r="C209" s="8"/>
      <c r="D209" s="9"/>
      <c r="E209" s="10"/>
      <c r="F209" s="11"/>
      <c r="G209" s="8"/>
      <c r="H209" s="8"/>
      <c r="I209" s="8"/>
      <c r="J209" s="8"/>
    </row>
    <row r="210" spans="1:10" x14ac:dyDescent="0.3">
      <c r="A210" s="7"/>
      <c r="B210" s="8"/>
      <c r="C210" s="8"/>
      <c r="D210" s="9"/>
      <c r="E210" s="10"/>
      <c r="F210" s="11"/>
      <c r="G210" s="8"/>
      <c r="H210" s="8"/>
      <c r="I210" s="8"/>
      <c r="J210" s="8"/>
    </row>
    <row r="211" spans="1:10" x14ac:dyDescent="0.3">
      <c r="A211" s="7"/>
      <c r="B211" s="8"/>
      <c r="C211" s="8"/>
      <c r="D211" s="9"/>
      <c r="E211" s="10"/>
      <c r="F211" s="11"/>
      <c r="G211" s="8"/>
      <c r="H211" s="8"/>
      <c r="I211" s="8"/>
      <c r="J211" s="8"/>
    </row>
    <row r="212" spans="1:10" x14ac:dyDescent="0.3">
      <c r="A212" s="7"/>
      <c r="B212" s="8"/>
      <c r="C212" s="8"/>
      <c r="D212" s="9"/>
      <c r="E212" s="10"/>
      <c r="F212" s="11"/>
      <c r="G212" s="8"/>
      <c r="H212" s="8"/>
      <c r="I212" s="8"/>
      <c r="J212" s="8"/>
    </row>
    <row r="213" spans="1:10" x14ac:dyDescent="0.3">
      <c r="A213" s="7"/>
      <c r="B213" s="8"/>
      <c r="C213" s="8"/>
      <c r="D213" s="9"/>
      <c r="E213" s="10"/>
      <c r="F213" s="11"/>
      <c r="G213" s="8"/>
      <c r="H213" s="8"/>
      <c r="I213" s="8"/>
      <c r="J213" s="8"/>
    </row>
    <row r="214" spans="1:10" x14ac:dyDescent="0.3">
      <c r="A214" s="7"/>
      <c r="B214" s="8"/>
      <c r="C214" s="8"/>
      <c r="D214" s="9"/>
      <c r="E214" s="10"/>
      <c r="F214" s="11"/>
      <c r="G214" s="8"/>
      <c r="H214" s="8"/>
      <c r="I214" s="8"/>
      <c r="J214" s="8"/>
    </row>
    <row r="215" spans="1:10" x14ac:dyDescent="0.3">
      <c r="A215" s="7"/>
      <c r="B215" s="8"/>
      <c r="C215" s="8"/>
      <c r="D215" s="9"/>
      <c r="E215" s="10"/>
      <c r="F215" s="11"/>
      <c r="G215" s="8"/>
      <c r="H215" s="8"/>
      <c r="I215" s="8"/>
      <c r="J215" s="8"/>
    </row>
    <row r="216" spans="1:10" x14ac:dyDescent="0.3">
      <c r="A216" s="7"/>
      <c r="B216" s="8"/>
      <c r="C216" s="8"/>
      <c r="D216" s="9"/>
      <c r="E216" s="10"/>
      <c r="F216" s="11"/>
      <c r="G216" s="8"/>
      <c r="H216" s="8"/>
      <c r="I216" s="8"/>
      <c r="J216" s="8"/>
    </row>
    <row r="217" spans="1:10" x14ac:dyDescent="0.3">
      <c r="A217" s="7"/>
      <c r="B217" s="8"/>
      <c r="C217" s="8"/>
      <c r="D217" s="9"/>
      <c r="E217" s="10"/>
      <c r="F217" s="11"/>
      <c r="G217" s="8"/>
      <c r="H217" s="8"/>
      <c r="I217" s="8"/>
      <c r="J217" s="8"/>
    </row>
    <row r="218" spans="1:10" x14ac:dyDescent="0.3">
      <c r="A218" s="7"/>
      <c r="B218" s="8"/>
      <c r="C218" s="8"/>
      <c r="D218" s="9"/>
      <c r="E218" s="10"/>
      <c r="F218" s="11"/>
      <c r="G218" s="8"/>
      <c r="H218" s="8"/>
      <c r="I218" s="8"/>
      <c r="J218" s="8"/>
    </row>
    <row r="219" spans="1:10" x14ac:dyDescent="0.3">
      <c r="A219" s="7"/>
      <c r="B219" s="8"/>
      <c r="C219" s="8"/>
      <c r="D219" s="9"/>
      <c r="E219" s="10"/>
      <c r="F219" s="11"/>
      <c r="G219" s="8"/>
      <c r="H219" s="8"/>
      <c r="I219" s="8"/>
      <c r="J219" s="8"/>
    </row>
    <row r="220" spans="1:10" x14ac:dyDescent="0.3">
      <c r="A220" s="7"/>
      <c r="B220" s="8"/>
      <c r="C220" s="8"/>
      <c r="D220" s="9"/>
      <c r="E220" s="10"/>
      <c r="F220" s="11"/>
      <c r="G220" s="8"/>
      <c r="H220" s="8"/>
      <c r="I220" s="8"/>
      <c r="J220" s="8"/>
    </row>
    <row r="221" spans="1:10" x14ac:dyDescent="0.3">
      <c r="A221" s="7"/>
      <c r="B221" s="8"/>
      <c r="C221" s="8"/>
      <c r="D221" s="9"/>
      <c r="E221" s="10"/>
      <c r="F221" s="11"/>
      <c r="G221" s="8"/>
      <c r="H221" s="8"/>
      <c r="I221" s="8"/>
      <c r="J221" s="8"/>
    </row>
    <row r="222" spans="1:10" x14ac:dyDescent="0.3">
      <c r="A222" s="7"/>
      <c r="B222" s="8"/>
      <c r="C222" s="8"/>
      <c r="D222" s="9"/>
      <c r="E222" s="10"/>
      <c r="F222" s="11"/>
      <c r="G222" s="8"/>
      <c r="H222" s="8"/>
      <c r="I222" s="8"/>
      <c r="J222" s="8"/>
    </row>
    <row r="223" spans="1:10" x14ac:dyDescent="0.3">
      <c r="A223" s="7"/>
      <c r="B223" s="8"/>
      <c r="C223" s="8"/>
      <c r="D223" s="9"/>
      <c r="E223" s="10"/>
      <c r="F223" s="11"/>
      <c r="G223" s="8"/>
      <c r="H223" s="8"/>
      <c r="I223" s="8"/>
      <c r="J223" s="8"/>
    </row>
    <row r="224" spans="1:10" x14ac:dyDescent="0.3">
      <c r="A224" s="7"/>
      <c r="B224" s="8"/>
      <c r="C224" s="8"/>
      <c r="D224" s="9"/>
      <c r="E224" s="10"/>
      <c r="F224" s="11"/>
      <c r="G224" s="8"/>
      <c r="H224" s="8"/>
      <c r="I224" s="8"/>
      <c r="J224" s="8"/>
    </row>
    <row r="225" spans="1:10" x14ac:dyDescent="0.3">
      <c r="A225" s="7"/>
      <c r="B225" s="8"/>
      <c r="C225" s="8"/>
      <c r="D225" s="9"/>
      <c r="E225" s="10"/>
      <c r="F225" s="11"/>
      <c r="G225" s="8"/>
      <c r="H225" s="8"/>
      <c r="I225" s="8"/>
      <c r="J225" s="8"/>
    </row>
    <row r="226" spans="1:10" x14ac:dyDescent="0.3">
      <c r="A226" s="7"/>
      <c r="B226" s="8"/>
      <c r="C226" s="8"/>
      <c r="D226" s="9"/>
      <c r="E226" s="10"/>
      <c r="F226" s="11"/>
      <c r="G226" s="8"/>
      <c r="H226" s="8"/>
      <c r="I226" s="8"/>
      <c r="J226" s="8"/>
    </row>
    <row r="227" spans="1:10" x14ac:dyDescent="0.3">
      <c r="A227" s="7"/>
      <c r="B227" s="8"/>
      <c r="C227" s="8"/>
      <c r="D227" s="9"/>
      <c r="E227" s="10"/>
      <c r="F227" s="11"/>
      <c r="G227" s="8"/>
      <c r="H227" s="8"/>
      <c r="I227" s="8"/>
      <c r="J227" s="8"/>
    </row>
    <row r="228" spans="1:10" x14ac:dyDescent="0.3">
      <c r="A228" s="7"/>
      <c r="B228" s="8"/>
      <c r="C228" s="8"/>
      <c r="D228" s="9"/>
      <c r="E228" s="10"/>
      <c r="F228" s="11"/>
      <c r="G228" s="8"/>
      <c r="H228" s="8"/>
      <c r="I228" s="8"/>
      <c r="J228" s="8"/>
    </row>
    <row r="229" spans="1:10" x14ac:dyDescent="0.3">
      <c r="A229" s="7"/>
      <c r="B229" s="8"/>
      <c r="C229" s="8"/>
      <c r="D229" s="9"/>
      <c r="E229" s="10"/>
      <c r="F229" s="11"/>
      <c r="G229" s="8"/>
      <c r="H229" s="8"/>
      <c r="I229" s="8"/>
      <c r="J229" s="8"/>
    </row>
    <row r="230" spans="1:10" x14ac:dyDescent="0.3">
      <c r="A230" s="7"/>
      <c r="B230" s="8"/>
      <c r="C230" s="8"/>
      <c r="D230" s="9"/>
      <c r="E230" s="10"/>
      <c r="F230" s="11"/>
      <c r="G230" s="8"/>
      <c r="H230" s="8"/>
      <c r="I230" s="8"/>
      <c r="J230" s="8"/>
    </row>
    <row r="231" spans="1:10" x14ac:dyDescent="0.3">
      <c r="A231" s="7"/>
      <c r="B231" s="8"/>
      <c r="C231" s="8"/>
      <c r="D231" s="9"/>
      <c r="E231" s="10"/>
      <c r="F231" s="11"/>
      <c r="G231" s="8"/>
      <c r="H231" s="8"/>
      <c r="I231" s="8"/>
      <c r="J231" s="8"/>
    </row>
    <row r="232" spans="1:10" x14ac:dyDescent="0.3">
      <c r="A232" s="7"/>
      <c r="B232" s="8"/>
      <c r="C232" s="8"/>
      <c r="D232" s="9"/>
      <c r="E232" s="10"/>
      <c r="F232" s="11"/>
      <c r="G232" s="8"/>
      <c r="H232" s="8"/>
      <c r="I232" s="8"/>
      <c r="J232" s="8"/>
    </row>
    <row r="233" spans="1:10" x14ac:dyDescent="0.3">
      <c r="A233" s="7"/>
      <c r="B233" s="8"/>
      <c r="C233" s="8"/>
      <c r="D233" s="9"/>
      <c r="E233" s="10"/>
      <c r="F233" s="11"/>
      <c r="G233" s="8"/>
      <c r="H233" s="8"/>
      <c r="I233" s="8"/>
      <c r="J233" s="8"/>
    </row>
    <row r="234" spans="1:10" x14ac:dyDescent="0.3">
      <c r="A234" s="7"/>
      <c r="B234" s="8"/>
      <c r="C234" s="8"/>
      <c r="D234" s="9"/>
      <c r="E234" s="10"/>
      <c r="F234" s="11"/>
      <c r="G234" s="8"/>
      <c r="H234" s="8"/>
      <c r="I234" s="8"/>
      <c r="J234" s="8"/>
    </row>
    <row r="235" spans="1:10" x14ac:dyDescent="0.3">
      <c r="A235" s="7"/>
      <c r="B235" s="8"/>
      <c r="C235" s="8"/>
      <c r="D235" s="9"/>
      <c r="E235" s="10"/>
      <c r="F235" s="11"/>
      <c r="G235" s="8"/>
      <c r="H235" s="8"/>
      <c r="I235" s="8"/>
      <c r="J235" s="8"/>
    </row>
    <row r="236" spans="1:10" x14ac:dyDescent="0.3">
      <c r="A236" s="7"/>
      <c r="B236" s="8"/>
      <c r="C236" s="8"/>
      <c r="D236" s="9"/>
      <c r="E236" s="10"/>
      <c r="F236" s="11"/>
      <c r="G236" s="8"/>
      <c r="H236" s="8"/>
      <c r="I236" s="8"/>
      <c r="J236" s="8"/>
    </row>
    <row r="237" spans="1:10" x14ac:dyDescent="0.3">
      <c r="A237" s="7"/>
      <c r="B237" s="8"/>
      <c r="C237" s="8"/>
      <c r="D237" s="9"/>
      <c r="E237" s="10"/>
      <c r="F237" s="11"/>
      <c r="G237" s="8"/>
      <c r="H237" s="8"/>
      <c r="I237" s="8"/>
      <c r="J237" s="8"/>
    </row>
    <row r="238" spans="1:10" x14ac:dyDescent="0.3">
      <c r="A238" s="7"/>
      <c r="B238" s="8"/>
      <c r="C238" s="8"/>
      <c r="D238" s="9"/>
      <c r="E238" s="10"/>
      <c r="F238" s="11"/>
      <c r="G238" s="8"/>
      <c r="H238" s="8"/>
      <c r="I238" s="8"/>
      <c r="J238" s="8"/>
    </row>
    <row r="239" spans="1:10" x14ac:dyDescent="0.3">
      <c r="A239" s="7"/>
      <c r="B239" s="8"/>
      <c r="C239" s="8"/>
      <c r="D239" s="9"/>
      <c r="E239" s="10"/>
      <c r="F239" s="11"/>
      <c r="G239" s="8"/>
      <c r="H239" s="8"/>
      <c r="I239" s="8"/>
      <c r="J239" s="8"/>
    </row>
    <row r="240" spans="1:10" x14ac:dyDescent="0.3">
      <c r="A240" s="7"/>
      <c r="B240" s="8"/>
      <c r="C240" s="8"/>
      <c r="D240" s="9"/>
      <c r="E240" s="10"/>
      <c r="F240" s="11"/>
      <c r="G240" s="8"/>
      <c r="H240" s="8"/>
      <c r="I240" s="8"/>
      <c r="J240" s="8"/>
    </row>
    <row r="241" spans="1:10" x14ac:dyDescent="0.3">
      <c r="A241" s="7"/>
      <c r="B241" s="8"/>
      <c r="C241" s="8"/>
      <c r="D241" s="9"/>
      <c r="E241" s="10"/>
      <c r="F241" s="11"/>
      <c r="G241" s="8"/>
      <c r="H241" s="8"/>
      <c r="I241" s="8"/>
      <c r="J241" s="8"/>
    </row>
    <row r="242" spans="1:10" x14ac:dyDescent="0.3">
      <c r="A242" s="7"/>
      <c r="B242" s="8"/>
      <c r="C242" s="8"/>
      <c r="D242" s="9"/>
      <c r="E242" s="10"/>
      <c r="F242" s="11"/>
      <c r="G242" s="8"/>
      <c r="H242" s="8"/>
      <c r="I242" s="8"/>
      <c r="J242" s="8"/>
    </row>
    <row r="243" spans="1:10" x14ac:dyDescent="0.3">
      <c r="A243" s="7"/>
      <c r="B243" s="8"/>
      <c r="C243" s="8"/>
      <c r="D243" s="9"/>
      <c r="E243" s="10"/>
      <c r="F243" s="11"/>
      <c r="G243" s="8"/>
      <c r="H243" s="8"/>
      <c r="I243" s="8"/>
      <c r="J243" s="8"/>
    </row>
    <row r="244" spans="1:10" x14ac:dyDescent="0.3">
      <c r="A244" s="7"/>
      <c r="B244" s="8"/>
      <c r="C244" s="8"/>
      <c r="D244" s="9"/>
      <c r="E244" s="10"/>
      <c r="F244" s="11"/>
      <c r="G244" s="8"/>
      <c r="H244" s="8"/>
      <c r="I244" s="8"/>
      <c r="J244" s="8"/>
    </row>
    <row r="245" spans="1:10" x14ac:dyDescent="0.3">
      <c r="A245" s="7"/>
      <c r="B245" s="8"/>
      <c r="C245" s="8"/>
      <c r="D245" s="9"/>
      <c r="E245" s="10"/>
      <c r="F245" s="11"/>
      <c r="G245" s="8"/>
      <c r="H245" s="8"/>
      <c r="I245" s="8"/>
      <c r="J245" s="8"/>
    </row>
    <row r="246" spans="1:10" x14ac:dyDescent="0.3">
      <c r="A246" s="7"/>
      <c r="B246" s="8"/>
      <c r="C246" s="8"/>
      <c r="D246" s="9"/>
      <c r="E246" s="10"/>
      <c r="F246" s="11"/>
      <c r="G246" s="8"/>
      <c r="H246" s="8"/>
      <c r="I246" s="8"/>
      <c r="J246" s="8"/>
    </row>
    <row r="247" spans="1:10" x14ac:dyDescent="0.3">
      <c r="A247" s="7"/>
      <c r="B247" s="8"/>
      <c r="C247" s="8"/>
      <c r="D247" s="9"/>
      <c r="E247" s="10"/>
      <c r="F247" s="11"/>
      <c r="G247" s="8"/>
      <c r="H247" s="8"/>
      <c r="I247" s="8"/>
      <c r="J247" s="8"/>
    </row>
    <row r="248" spans="1:10" x14ac:dyDescent="0.3">
      <c r="A248" s="7"/>
      <c r="B248" s="8"/>
      <c r="C248" s="8"/>
      <c r="D248" s="9"/>
      <c r="E248" s="10"/>
      <c r="F248" s="11"/>
      <c r="G248" s="8"/>
      <c r="H248" s="8"/>
      <c r="I248" s="8"/>
      <c r="J248" s="8"/>
    </row>
    <row r="249" spans="1:10" x14ac:dyDescent="0.3">
      <c r="A249" s="7"/>
      <c r="B249" s="8"/>
      <c r="C249" s="8"/>
      <c r="D249" s="9"/>
      <c r="E249" s="10"/>
      <c r="F249" s="11"/>
      <c r="G249" s="8"/>
      <c r="H249" s="8"/>
      <c r="I249" s="8"/>
      <c r="J249" s="8"/>
    </row>
    <row r="250" spans="1:10" x14ac:dyDescent="0.3">
      <c r="A250" s="7"/>
      <c r="B250" s="8"/>
      <c r="C250" s="8"/>
      <c r="D250" s="9"/>
      <c r="E250" s="10"/>
      <c r="F250" s="11"/>
      <c r="G250" s="8"/>
      <c r="H250" s="8"/>
      <c r="I250" s="8"/>
      <c r="J250" s="8"/>
    </row>
    <row r="251" spans="1:10" x14ac:dyDescent="0.3">
      <c r="A251" s="7"/>
      <c r="B251" s="8"/>
      <c r="C251" s="8"/>
      <c r="D251" s="9"/>
      <c r="E251" s="10"/>
      <c r="F251" s="11"/>
      <c r="G251" s="8"/>
      <c r="H251" s="8"/>
      <c r="I251" s="8"/>
      <c r="J251" s="8"/>
    </row>
    <row r="252" spans="1:10" x14ac:dyDescent="0.3">
      <c r="A252" s="7"/>
      <c r="B252" s="8"/>
      <c r="C252" s="8"/>
      <c r="D252" s="9"/>
      <c r="E252" s="10"/>
      <c r="F252" s="11"/>
      <c r="G252" s="8"/>
      <c r="H252" s="8"/>
      <c r="I252" s="8"/>
      <c r="J252" s="8"/>
    </row>
    <row r="253" spans="1:10" x14ac:dyDescent="0.3">
      <c r="A253" s="7"/>
      <c r="B253" s="8"/>
      <c r="C253" s="8"/>
      <c r="D253" s="9"/>
      <c r="E253" s="10"/>
      <c r="F253" s="11"/>
      <c r="G253" s="8"/>
      <c r="H253" s="8"/>
      <c r="I253" s="8"/>
      <c r="J253" s="8"/>
    </row>
    <row r="254" spans="1:10" x14ac:dyDescent="0.3">
      <c r="A254" s="7"/>
      <c r="B254" s="8"/>
      <c r="C254" s="8"/>
      <c r="D254" s="9"/>
      <c r="E254" s="10"/>
      <c r="F254" s="11"/>
      <c r="G254" s="8"/>
      <c r="H254" s="8"/>
      <c r="I254" s="8"/>
      <c r="J254" s="8"/>
    </row>
    <row r="255" spans="1:10" x14ac:dyDescent="0.3">
      <c r="A255" s="7"/>
      <c r="B255" s="8"/>
      <c r="C255" s="8"/>
      <c r="D255" s="9"/>
      <c r="E255" s="10"/>
      <c r="F255" s="11"/>
      <c r="G255" s="8"/>
      <c r="H255" s="8"/>
      <c r="I255" s="8"/>
      <c r="J255" s="8"/>
    </row>
    <row r="256" spans="1:10" x14ac:dyDescent="0.3">
      <c r="A256" s="7"/>
      <c r="B256" s="8"/>
      <c r="C256" s="8"/>
      <c r="D256" s="9"/>
      <c r="E256" s="10"/>
      <c r="F256" s="11"/>
      <c r="G256" s="8"/>
      <c r="H256" s="8"/>
      <c r="I256" s="8"/>
      <c r="J256" s="8"/>
    </row>
    <row r="257" spans="1:10" x14ac:dyDescent="0.3">
      <c r="A257" s="7"/>
      <c r="B257" s="8"/>
      <c r="C257" s="8"/>
      <c r="D257" s="9"/>
      <c r="E257" s="10"/>
      <c r="F257" s="11"/>
      <c r="G257" s="8"/>
      <c r="H257" s="8"/>
      <c r="I257" s="8"/>
      <c r="J257" s="8"/>
    </row>
    <row r="258" spans="1:10" x14ac:dyDescent="0.3">
      <c r="A258" s="7"/>
      <c r="B258" s="8"/>
      <c r="C258" s="8"/>
      <c r="D258" s="9"/>
      <c r="E258" s="10"/>
      <c r="F258" s="11"/>
      <c r="G258" s="8"/>
      <c r="H258" s="8"/>
      <c r="I258" s="8"/>
      <c r="J258" s="8"/>
    </row>
    <row r="259" spans="1:10" x14ac:dyDescent="0.3">
      <c r="A259" s="7"/>
      <c r="B259" s="8"/>
      <c r="C259" s="8"/>
      <c r="D259" s="9"/>
      <c r="E259" s="10"/>
      <c r="F259" s="11"/>
      <c r="G259" s="8"/>
      <c r="H259" s="8"/>
      <c r="I259" s="8"/>
      <c r="J259" s="8"/>
    </row>
    <row r="260" spans="1:10" x14ac:dyDescent="0.3">
      <c r="A260" s="7"/>
      <c r="B260" s="8"/>
      <c r="C260" s="8"/>
      <c r="D260" s="9"/>
      <c r="E260" s="10"/>
      <c r="F260" s="11"/>
      <c r="G260" s="8"/>
      <c r="H260" s="8"/>
      <c r="I260" s="8"/>
      <c r="J260" s="8"/>
    </row>
    <row r="261" spans="1:10" x14ac:dyDescent="0.3">
      <c r="A261" s="7"/>
      <c r="B261" s="8"/>
      <c r="C261" s="8"/>
      <c r="D261" s="9"/>
      <c r="E261" s="10"/>
      <c r="F261" s="11"/>
      <c r="G261" s="8"/>
      <c r="H261" s="8"/>
      <c r="I261" s="8"/>
      <c r="J261" s="8"/>
    </row>
    <row r="262" spans="1:10" x14ac:dyDescent="0.3">
      <c r="A262" s="7"/>
      <c r="B262" s="8"/>
      <c r="C262" s="8"/>
      <c r="D262" s="9"/>
      <c r="E262" s="10"/>
      <c r="F262" s="11"/>
      <c r="G262" s="8"/>
      <c r="H262" s="8"/>
      <c r="I262" s="8"/>
      <c r="J262" s="8"/>
    </row>
    <row r="263" spans="1:10" x14ac:dyDescent="0.3">
      <c r="A263" s="7"/>
      <c r="B263" s="8"/>
      <c r="C263" s="8"/>
      <c r="D263" s="9"/>
      <c r="E263" s="10"/>
      <c r="F263" s="11"/>
      <c r="G263" s="8"/>
      <c r="H263" s="8"/>
      <c r="I263" s="8"/>
      <c r="J263" s="8"/>
    </row>
    <row r="264" spans="1:10" x14ac:dyDescent="0.3">
      <c r="A264" s="7"/>
      <c r="B264" s="8"/>
      <c r="C264" s="8"/>
      <c r="D264" s="9"/>
      <c r="E264" s="10"/>
      <c r="F264" s="11"/>
      <c r="G264" s="8"/>
      <c r="H264" s="8"/>
      <c r="I264" s="8"/>
      <c r="J264" s="8"/>
    </row>
    <row r="265" spans="1:10" x14ac:dyDescent="0.3">
      <c r="A265" s="7"/>
      <c r="B265" s="8"/>
      <c r="C265" s="8"/>
      <c r="D265" s="9"/>
      <c r="E265" s="10"/>
      <c r="F265" s="11"/>
      <c r="G265" s="8"/>
      <c r="H265" s="8"/>
      <c r="I265" s="8"/>
      <c r="J265" s="8"/>
    </row>
    <row r="266" spans="1:10" x14ac:dyDescent="0.3">
      <c r="A266" s="7"/>
      <c r="B266" s="8"/>
      <c r="C266" s="8"/>
      <c r="D266" s="9"/>
      <c r="E266" s="10"/>
      <c r="F266" s="11"/>
      <c r="G266" s="8"/>
      <c r="H266" s="8"/>
      <c r="I266" s="8"/>
      <c r="J266" s="8"/>
    </row>
    <row r="267" spans="1:10" x14ac:dyDescent="0.3">
      <c r="A267" s="7"/>
      <c r="B267" s="8"/>
      <c r="C267" s="8"/>
      <c r="D267" s="9"/>
      <c r="E267" s="10"/>
      <c r="F267" s="11"/>
      <c r="G267" s="8"/>
      <c r="H267" s="8"/>
      <c r="I267" s="8"/>
      <c r="J267" s="8"/>
    </row>
    <row r="268" spans="1:10" x14ac:dyDescent="0.3">
      <c r="A268" s="7"/>
      <c r="B268" s="8"/>
      <c r="C268" s="8"/>
      <c r="D268" s="9"/>
      <c r="E268" s="10"/>
      <c r="F268" s="11"/>
      <c r="G268" s="8"/>
      <c r="H268" s="8"/>
      <c r="I268" s="8"/>
      <c r="J268" s="8"/>
    </row>
    <row r="269" spans="1:10" x14ac:dyDescent="0.3">
      <c r="A269" s="7"/>
      <c r="B269" s="8"/>
      <c r="C269" s="8"/>
      <c r="D269" s="9"/>
      <c r="E269" s="10"/>
      <c r="F269" s="11"/>
      <c r="G269" s="8"/>
      <c r="H269" s="8"/>
      <c r="I269" s="8"/>
      <c r="J269" s="8"/>
    </row>
    <row r="270" spans="1:10" x14ac:dyDescent="0.3">
      <c r="A270" s="7"/>
      <c r="B270" s="8"/>
      <c r="C270" s="8"/>
      <c r="D270" s="9"/>
      <c r="E270" s="10"/>
      <c r="F270" s="11"/>
      <c r="G270" s="8"/>
      <c r="H270" s="8"/>
      <c r="I270" s="8"/>
      <c r="J270" s="8"/>
    </row>
    <row r="271" spans="1:10" x14ac:dyDescent="0.3">
      <c r="A271" s="7"/>
      <c r="B271" s="8"/>
      <c r="C271" s="8"/>
      <c r="D271" s="9"/>
      <c r="E271" s="10"/>
      <c r="F271" s="11"/>
      <c r="G271" s="8"/>
      <c r="H271" s="8"/>
      <c r="I271" s="8"/>
      <c r="J271" s="8"/>
    </row>
    <row r="272" spans="1:10" x14ac:dyDescent="0.3">
      <c r="A272" s="7"/>
      <c r="B272" s="8"/>
      <c r="C272" s="8"/>
      <c r="D272" s="9"/>
      <c r="E272" s="10"/>
      <c r="F272" s="11"/>
      <c r="G272" s="8"/>
      <c r="H272" s="8"/>
      <c r="I272" s="8"/>
      <c r="J272" s="8"/>
    </row>
    <row r="273" spans="1:10" x14ac:dyDescent="0.3">
      <c r="A273" s="7"/>
      <c r="B273" s="8"/>
      <c r="C273" s="8"/>
      <c r="D273" s="9"/>
      <c r="E273" s="10"/>
      <c r="F273" s="11"/>
      <c r="G273" s="8"/>
      <c r="H273" s="8"/>
      <c r="I273" s="8"/>
      <c r="J273" s="8"/>
    </row>
    <row r="274" spans="1:10" x14ac:dyDescent="0.3">
      <c r="A274" s="7"/>
      <c r="B274" s="8"/>
      <c r="C274" s="8"/>
      <c r="D274" s="9"/>
      <c r="E274" s="10"/>
      <c r="F274" s="11"/>
      <c r="G274" s="8"/>
      <c r="H274" s="8"/>
      <c r="I274" s="8"/>
      <c r="J274" s="8"/>
    </row>
    <row r="275" spans="1:10" x14ac:dyDescent="0.3">
      <c r="A275" s="7"/>
      <c r="B275" s="8"/>
      <c r="C275" s="8"/>
      <c r="D275" s="9"/>
      <c r="E275" s="10"/>
      <c r="F275" s="11"/>
      <c r="G275" s="8"/>
      <c r="H275" s="8"/>
      <c r="I275" s="8"/>
      <c r="J275" s="8"/>
    </row>
    <row r="276" spans="1:10" x14ac:dyDescent="0.3">
      <c r="A276" s="7"/>
      <c r="B276" s="8"/>
      <c r="C276" s="8"/>
      <c r="D276" s="9"/>
      <c r="E276" s="10"/>
      <c r="F276" s="11"/>
      <c r="G276" s="8"/>
      <c r="H276" s="8"/>
      <c r="I276" s="8"/>
      <c r="J276" s="8"/>
    </row>
    <row r="277" spans="1:10" x14ac:dyDescent="0.3">
      <c r="A277" s="7"/>
      <c r="B277" s="8"/>
      <c r="C277" s="8"/>
      <c r="D277" s="9"/>
      <c r="E277" s="10"/>
      <c r="F277" s="11"/>
      <c r="G277" s="8"/>
      <c r="H277" s="8"/>
      <c r="I277" s="8"/>
      <c r="J277" s="8"/>
    </row>
    <row r="278" spans="1:10" x14ac:dyDescent="0.3">
      <c r="A278" s="7"/>
      <c r="B278" s="8"/>
      <c r="C278" s="8"/>
      <c r="D278" s="9"/>
      <c r="E278" s="10"/>
      <c r="F278" s="11"/>
      <c r="G278" s="8"/>
      <c r="H278" s="8"/>
      <c r="I278" s="8"/>
      <c r="J278" s="8"/>
    </row>
    <row r="279" spans="1:10" x14ac:dyDescent="0.3">
      <c r="A279" s="7"/>
      <c r="B279" s="8"/>
      <c r="C279" s="8"/>
      <c r="D279" s="9"/>
      <c r="E279" s="10"/>
      <c r="F279" s="11"/>
      <c r="G279" s="8"/>
      <c r="H279" s="8"/>
      <c r="I279" s="8"/>
      <c r="J279" s="8"/>
    </row>
    <row r="280" spans="1:10" x14ac:dyDescent="0.3">
      <c r="A280" s="7"/>
      <c r="B280" s="8"/>
      <c r="C280" s="8"/>
      <c r="D280" s="9"/>
      <c r="E280" s="10"/>
      <c r="F280" s="11"/>
      <c r="G280" s="8"/>
      <c r="H280" s="8"/>
      <c r="I280" s="8"/>
      <c r="J280" s="8"/>
    </row>
    <row r="281" spans="1:10" x14ac:dyDescent="0.3">
      <c r="A281" s="7"/>
      <c r="B281" s="8"/>
      <c r="C281" s="8"/>
      <c r="D281" s="9"/>
      <c r="E281" s="10"/>
      <c r="F281" s="11"/>
      <c r="G281" s="8"/>
      <c r="H281" s="8"/>
      <c r="I281" s="8"/>
      <c r="J281" s="8"/>
    </row>
    <row r="282" spans="1:10" x14ac:dyDescent="0.3">
      <c r="A282" s="7"/>
      <c r="B282" s="8"/>
      <c r="C282" s="8"/>
      <c r="D282" s="9"/>
      <c r="E282" s="10"/>
      <c r="F282" s="11"/>
      <c r="G282" s="8"/>
      <c r="H282" s="8"/>
      <c r="I282" s="8"/>
      <c r="J282" s="8"/>
    </row>
    <row r="283" spans="1:10" x14ac:dyDescent="0.3">
      <c r="A283" s="7"/>
      <c r="B283" s="8"/>
      <c r="C283" s="8"/>
      <c r="D283" s="9"/>
      <c r="E283" s="10"/>
      <c r="F283" s="11"/>
      <c r="G283" s="8"/>
      <c r="H283" s="8"/>
      <c r="I283" s="8"/>
      <c r="J283" s="8"/>
    </row>
    <row r="284" spans="1:10" x14ac:dyDescent="0.3">
      <c r="A284" s="7"/>
      <c r="B284" s="8"/>
      <c r="C284" s="8"/>
      <c r="D284" s="9"/>
      <c r="E284" s="10"/>
      <c r="F284" s="11"/>
      <c r="G284" s="8"/>
      <c r="H284" s="8"/>
      <c r="I284" s="8"/>
      <c r="J284" s="8"/>
    </row>
    <row r="285" spans="1:10" x14ac:dyDescent="0.3">
      <c r="A285" s="7"/>
      <c r="B285" s="8"/>
      <c r="C285" s="8"/>
      <c r="D285" s="9"/>
      <c r="E285" s="10"/>
      <c r="F285" s="11"/>
      <c r="G285" s="8"/>
      <c r="H285" s="8"/>
      <c r="I285" s="8"/>
      <c r="J285" s="8"/>
    </row>
    <row r="286" spans="1:10" x14ac:dyDescent="0.3">
      <c r="A286" s="7"/>
      <c r="B286" s="8"/>
      <c r="C286" s="8"/>
      <c r="D286" s="9"/>
      <c r="E286" s="10"/>
      <c r="F286" s="11"/>
      <c r="G286" s="8"/>
      <c r="H286" s="8"/>
      <c r="I286" s="8"/>
      <c r="J286" s="8"/>
    </row>
    <row r="287" spans="1:10" x14ac:dyDescent="0.3">
      <c r="A287" s="7"/>
      <c r="B287" s="8"/>
      <c r="C287" s="8"/>
      <c r="D287" s="9"/>
      <c r="E287" s="10"/>
      <c r="F287" s="11"/>
      <c r="G287" s="8"/>
      <c r="H287" s="8"/>
      <c r="I287" s="8"/>
      <c r="J287" s="8"/>
    </row>
    <row r="288" spans="1:10" x14ac:dyDescent="0.3">
      <c r="A288" s="7"/>
      <c r="B288" s="8"/>
      <c r="C288" s="8"/>
      <c r="D288" s="9"/>
      <c r="E288" s="10"/>
      <c r="F288" s="11"/>
      <c r="G288" s="8"/>
      <c r="H288" s="8"/>
      <c r="I288" s="8"/>
      <c r="J288" s="8"/>
    </row>
    <row r="289" spans="1:10" x14ac:dyDescent="0.3">
      <c r="A289" s="7"/>
      <c r="B289" s="8"/>
      <c r="C289" s="8"/>
      <c r="D289" s="9"/>
      <c r="E289" s="10"/>
      <c r="F289" s="11"/>
      <c r="G289" s="8"/>
      <c r="H289" s="8"/>
      <c r="I289" s="8"/>
      <c r="J289" s="8"/>
    </row>
    <row r="290" spans="1:10" x14ac:dyDescent="0.3">
      <c r="A290" s="7"/>
      <c r="B290" s="8"/>
      <c r="C290" s="8"/>
      <c r="D290" s="9"/>
      <c r="E290" s="10"/>
      <c r="F290" s="11"/>
      <c r="G290" s="8"/>
      <c r="H290" s="8"/>
      <c r="I290" s="8"/>
      <c r="J290" s="8"/>
    </row>
    <row r="291" spans="1:10" x14ac:dyDescent="0.3">
      <c r="A291" s="7"/>
      <c r="B291" s="8"/>
      <c r="C291" s="8"/>
      <c r="D291" s="9"/>
      <c r="E291" s="10"/>
      <c r="F291" s="11"/>
      <c r="G291" s="8"/>
      <c r="H291" s="8"/>
      <c r="I291" s="8"/>
      <c r="J291" s="8"/>
    </row>
    <row r="292" spans="1:10" x14ac:dyDescent="0.3">
      <c r="A292" s="7"/>
      <c r="B292" s="8"/>
      <c r="C292" s="8"/>
      <c r="D292" s="9"/>
      <c r="E292" s="10"/>
      <c r="F292" s="11"/>
      <c r="G292" s="8"/>
      <c r="H292" s="8"/>
      <c r="I292" s="8"/>
      <c r="J292" s="8"/>
    </row>
    <row r="293" spans="1:10" x14ac:dyDescent="0.3">
      <c r="A293" s="7"/>
      <c r="B293" s="8"/>
      <c r="C293" s="8"/>
      <c r="D293" s="9"/>
      <c r="E293" s="10"/>
      <c r="F293" s="11"/>
      <c r="G293" s="8"/>
      <c r="H293" s="8"/>
      <c r="I293" s="8"/>
      <c r="J293" s="8"/>
    </row>
    <row r="294" spans="1:10" x14ac:dyDescent="0.3">
      <c r="A294" s="7"/>
      <c r="B294" s="8"/>
      <c r="C294" s="8"/>
      <c r="D294" s="9"/>
      <c r="E294" s="10"/>
      <c r="F294" s="11"/>
      <c r="G294" s="8"/>
      <c r="H294" s="8"/>
      <c r="I294" s="8"/>
      <c r="J294" s="8"/>
    </row>
    <row r="295" spans="1:10" x14ac:dyDescent="0.3">
      <c r="A295" s="7"/>
      <c r="B295" s="8"/>
      <c r="C295" s="8"/>
      <c r="D295" s="9"/>
      <c r="E295" s="10"/>
      <c r="F295" s="11"/>
      <c r="G295" s="8"/>
      <c r="H295" s="8"/>
      <c r="I295" s="8"/>
      <c r="J295" s="8"/>
    </row>
    <row r="296" spans="1:10" x14ac:dyDescent="0.3">
      <c r="A296" s="7"/>
      <c r="B296" s="8"/>
      <c r="C296" s="8"/>
      <c r="D296" s="9"/>
      <c r="E296" s="10"/>
      <c r="F296" s="11"/>
      <c r="G296" s="8"/>
      <c r="H296" s="8"/>
      <c r="I296" s="8"/>
      <c r="J296" s="8"/>
    </row>
    <row r="297" spans="1:10" x14ac:dyDescent="0.3">
      <c r="A297" s="7"/>
      <c r="B297" s="8"/>
      <c r="C297" s="8"/>
      <c r="D297" s="9"/>
      <c r="E297" s="10"/>
      <c r="F297" s="11"/>
      <c r="G297" s="8"/>
      <c r="H297" s="8"/>
      <c r="I297" s="8"/>
      <c r="J297" s="8"/>
    </row>
    <row r="298" spans="1:10" x14ac:dyDescent="0.3">
      <c r="A298" s="7"/>
      <c r="B298" s="8"/>
      <c r="C298" s="8"/>
      <c r="D298" s="9"/>
      <c r="E298" s="10"/>
      <c r="F298" s="11"/>
      <c r="G298" s="8"/>
      <c r="H298" s="8"/>
      <c r="I298" s="8"/>
      <c r="J298" s="8"/>
    </row>
    <row r="299" spans="1:10" x14ac:dyDescent="0.3">
      <c r="A299" s="7"/>
      <c r="B299" s="8"/>
      <c r="C299" s="8"/>
      <c r="D299" s="9"/>
      <c r="E299" s="10"/>
      <c r="F299" s="11"/>
      <c r="G299" s="8"/>
      <c r="H299" s="8"/>
      <c r="I299" s="8"/>
      <c r="J299" s="8"/>
    </row>
    <row r="300" spans="1:10" x14ac:dyDescent="0.3">
      <c r="A300" s="7"/>
      <c r="B300" s="8"/>
      <c r="C300" s="8"/>
      <c r="D300" s="9"/>
      <c r="E300" s="10"/>
      <c r="F300" s="11"/>
      <c r="G300" s="8"/>
      <c r="H300" s="8"/>
      <c r="I300" s="8"/>
      <c r="J300" s="8"/>
    </row>
    <row r="301" spans="1:10" x14ac:dyDescent="0.3">
      <c r="A301" s="7"/>
      <c r="B301" s="8"/>
      <c r="C301" s="8"/>
      <c r="D301" s="9"/>
      <c r="E301" s="10"/>
      <c r="F301" s="11"/>
      <c r="G301" s="8"/>
      <c r="H301" s="8"/>
      <c r="I301" s="8"/>
      <c r="J301" s="8"/>
    </row>
    <row r="302" spans="1:10" x14ac:dyDescent="0.3">
      <c r="A302" s="7"/>
      <c r="B302" s="8"/>
      <c r="C302" s="8"/>
      <c r="D302" s="9"/>
      <c r="E302" s="10"/>
      <c r="F302" s="11"/>
      <c r="G302" s="8"/>
      <c r="H302" s="8"/>
      <c r="I302" s="8"/>
      <c r="J302" s="8"/>
    </row>
    <row r="303" spans="1:10" x14ac:dyDescent="0.3">
      <c r="A303" s="7"/>
      <c r="B303" s="8"/>
      <c r="C303" s="8"/>
      <c r="D303" s="9"/>
      <c r="E303" s="10"/>
      <c r="F303" s="11"/>
      <c r="G303" s="8"/>
      <c r="H303" s="8"/>
      <c r="I303" s="8"/>
      <c r="J303" s="8"/>
    </row>
    <row r="304" spans="1:10" x14ac:dyDescent="0.3">
      <c r="A304" s="7"/>
      <c r="B304" s="8"/>
      <c r="C304" s="8"/>
      <c r="D304" s="9"/>
      <c r="E304" s="10"/>
      <c r="F304" s="11"/>
      <c r="G304" s="8"/>
      <c r="H304" s="8"/>
      <c r="I304" s="8"/>
      <c r="J304" s="8"/>
    </row>
    <row r="305" spans="1:10" x14ac:dyDescent="0.3">
      <c r="A305" s="7"/>
      <c r="B305" s="8"/>
      <c r="C305" s="8"/>
      <c r="D305" s="9"/>
      <c r="E305" s="10"/>
      <c r="F305" s="11"/>
      <c r="G305" s="8"/>
      <c r="H305" s="8"/>
      <c r="I305" s="8"/>
      <c r="J305" s="8"/>
    </row>
    <row r="306" spans="1:10" x14ac:dyDescent="0.3">
      <c r="A306" s="7"/>
      <c r="B306" s="8"/>
      <c r="C306" s="8"/>
      <c r="D306" s="9"/>
      <c r="E306" s="10"/>
      <c r="F306" s="11"/>
      <c r="G306" s="8"/>
      <c r="H306" s="8"/>
      <c r="I306" s="8"/>
      <c r="J306" s="8"/>
    </row>
    <row r="307" spans="1:10" x14ac:dyDescent="0.3">
      <c r="A307" s="7"/>
      <c r="B307" s="8"/>
      <c r="C307" s="8"/>
      <c r="D307" s="9"/>
      <c r="E307" s="10"/>
      <c r="F307" s="11"/>
      <c r="G307" s="8"/>
      <c r="H307" s="8"/>
      <c r="I307" s="8"/>
      <c r="J307" s="8"/>
    </row>
    <row r="308" spans="1:10" x14ac:dyDescent="0.3">
      <c r="A308" s="7"/>
      <c r="B308" s="8"/>
      <c r="C308" s="8"/>
      <c r="D308" s="9"/>
      <c r="E308" s="10"/>
      <c r="F308" s="11"/>
      <c r="G308" s="8"/>
      <c r="H308" s="8"/>
      <c r="I308" s="8"/>
      <c r="J308" s="8"/>
    </row>
    <row r="309" spans="1:10" x14ac:dyDescent="0.3">
      <c r="A309" s="7"/>
      <c r="B309" s="8"/>
      <c r="C309" s="8"/>
      <c r="D309" s="9"/>
      <c r="E309" s="10"/>
      <c r="F309" s="11"/>
      <c r="G309" s="8"/>
      <c r="H309" s="8"/>
      <c r="I309" s="8"/>
      <c r="J309" s="8"/>
    </row>
    <row r="310" spans="1:10" x14ac:dyDescent="0.3">
      <c r="A310" s="7"/>
      <c r="B310" s="8"/>
      <c r="C310" s="8"/>
      <c r="D310" s="9"/>
      <c r="E310" s="10"/>
      <c r="F310" s="11"/>
      <c r="G310" s="8"/>
      <c r="H310" s="8"/>
      <c r="I310" s="8"/>
      <c r="J310" s="8"/>
    </row>
    <row r="311" spans="1:10" x14ac:dyDescent="0.3">
      <c r="A311" s="7"/>
      <c r="B311" s="8"/>
      <c r="C311" s="8"/>
      <c r="D311" s="9"/>
      <c r="E311" s="10"/>
      <c r="F311" s="11"/>
      <c r="G311" s="8"/>
      <c r="H311" s="8"/>
      <c r="I311" s="8"/>
      <c r="J311" s="8"/>
    </row>
    <row r="312" spans="1:10" x14ac:dyDescent="0.3">
      <c r="A312" s="7"/>
      <c r="B312" s="8"/>
      <c r="C312" s="8"/>
      <c r="D312" s="9"/>
      <c r="E312" s="10"/>
      <c r="F312" s="11"/>
      <c r="G312" s="8"/>
      <c r="H312" s="8"/>
      <c r="I312" s="8"/>
      <c r="J312" s="8"/>
    </row>
    <row r="313" spans="1:10" x14ac:dyDescent="0.3">
      <c r="A313" s="7"/>
      <c r="B313" s="8"/>
      <c r="C313" s="8"/>
      <c r="D313" s="9"/>
      <c r="E313" s="10"/>
      <c r="F313" s="11"/>
      <c r="G313" s="8"/>
      <c r="H313" s="8"/>
      <c r="I313" s="8"/>
      <c r="J313" s="8"/>
    </row>
    <row r="314" spans="1:10" x14ac:dyDescent="0.3">
      <c r="A314" s="7"/>
      <c r="B314" s="8"/>
      <c r="C314" s="8"/>
      <c r="D314" s="9"/>
      <c r="E314" s="10"/>
      <c r="F314" s="11"/>
      <c r="G314" s="8"/>
      <c r="H314" s="8"/>
      <c r="I314" s="8"/>
      <c r="J314" s="8"/>
    </row>
    <row r="315" spans="1:10" x14ac:dyDescent="0.3">
      <c r="A315" s="7"/>
      <c r="B315" s="8"/>
      <c r="C315" s="8"/>
      <c r="D315" s="9"/>
      <c r="E315" s="10"/>
      <c r="F315" s="11"/>
      <c r="G315" s="8"/>
      <c r="H315" s="8"/>
      <c r="I315" s="8"/>
      <c r="J315" s="8"/>
    </row>
    <row r="316" spans="1:10" x14ac:dyDescent="0.3">
      <c r="A316" s="7"/>
      <c r="B316" s="8"/>
      <c r="C316" s="8"/>
      <c r="D316" s="9"/>
      <c r="E316" s="10"/>
      <c r="F316" s="11"/>
      <c r="G316" s="8"/>
      <c r="H316" s="8"/>
      <c r="I316" s="8"/>
      <c r="J316" s="8"/>
    </row>
    <row r="317" spans="1:10" x14ac:dyDescent="0.3">
      <c r="A317" s="7"/>
      <c r="B317" s="8"/>
      <c r="C317" s="8"/>
      <c r="D317" s="9"/>
      <c r="E317" s="10"/>
      <c r="F317" s="11"/>
      <c r="G317" s="8"/>
      <c r="H317" s="8"/>
      <c r="I317" s="8"/>
      <c r="J317" s="8"/>
    </row>
    <row r="318" spans="1:10" x14ac:dyDescent="0.3">
      <c r="A318" s="7"/>
      <c r="B318" s="8"/>
      <c r="C318" s="8"/>
      <c r="D318" s="9"/>
      <c r="E318" s="10"/>
      <c r="F318" s="11"/>
      <c r="G318" s="8"/>
      <c r="H318" s="8"/>
      <c r="I318" s="8"/>
      <c r="J318" s="8"/>
    </row>
    <row r="319" spans="1:10" x14ac:dyDescent="0.3">
      <c r="A319" s="7"/>
      <c r="B319" s="8"/>
      <c r="C319" s="8"/>
      <c r="D319" s="9"/>
      <c r="E319" s="10"/>
      <c r="F319" s="11"/>
      <c r="G319" s="8"/>
      <c r="H319" s="8"/>
      <c r="I319" s="8"/>
      <c r="J319" s="8"/>
    </row>
    <row r="320" spans="1:10" x14ac:dyDescent="0.3">
      <c r="A320" s="7"/>
      <c r="B320" s="8"/>
      <c r="C320" s="8"/>
      <c r="D320" s="9"/>
      <c r="E320" s="10"/>
      <c r="F320" s="11"/>
      <c r="G320" s="8"/>
      <c r="H320" s="8"/>
      <c r="I320" s="8"/>
      <c r="J320" s="8"/>
    </row>
    <row r="321" spans="1:10" x14ac:dyDescent="0.3">
      <c r="A321" s="7"/>
      <c r="B321" s="8"/>
      <c r="C321" s="8"/>
      <c r="D321" s="9"/>
      <c r="E321" s="10"/>
      <c r="F321" s="11"/>
      <c r="G321" s="8"/>
      <c r="H321" s="8"/>
      <c r="I321" s="8"/>
      <c r="J321" s="8"/>
    </row>
    <row r="322" spans="1:10" x14ac:dyDescent="0.3">
      <c r="A322" s="7"/>
      <c r="B322" s="8"/>
      <c r="C322" s="8"/>
      <c r="D322" s="9"/>
      <c r="E322" s="10"/>
      <c r="F322" s="11"/>
      <c r="G322" s="8"/>
      <c r="H322" s="8"/>
      <c r="I322" s="8"/>
      <c r="J322" s="8"/>
    </row>
    <row r="323" spans="1:10" x14ac:dyDescent="0.3">
      <c r="A323" s="7"/>
      <c r="B323" s="8"/>
      <c r="C323" s="8"/>
      <c r="D323" s="9"/>
      <c r="E323" s="10"/>
      <c r="F323" s="11"/>
      <c r="G323" s="8"/>
      <c r="H323" s="8"/>
      <c r="I323" s="8"/>
      <c r="J323" s="8"/>
    </row>
    <row r="324" spans="1:10" x14ac:dyDescent="0.3">
      <c r="A324" s="7"/>
      <c r="B324" s="8"/>
      <c r="C324" s="8"/>
      <c r="D324" s="9"/>
      <c r="E324" s="10"/>
      <c r="F324" s="11"/>
      <c r="G324" s="8"/>
      <c r="H324" s="8"/>
      <c r="I324" s="8"/>
      <c r="J324" s="8"/>
    </row>
    <row r="325" spans="1:10" x14ac:dyDescent="0.3">
      <c r="A325" s="7"/>
      <c r="B325" s="8"/>
      <c r="C325" s="8"/>
      <c r="D325" s="9"/>
      <c r="E325" s="10"/>
      <c r="F325" s="11"/>
      <c r="G325" s="8"/>
      <c r="H325" s="8"/>
      <c r="I325" s="8"/>
      <c r="J325" s="8"/>
    </row>
    <row r="326" spans="1:10" x14ac:dyDescent="0.3">
      <c r="A326" s="7"/>
      <c r="B326" s="8"/>
      <c r="C326" s="8"/>
      <c r="D326" s="9"/>
      <c r="E326" s="10"/>
      <c r="F326" s="11"/>
      <c r="G326" s="8"/>
      <c r="H326" s="8"/>
      <c r="I326" s="8"/>
      <c r="J326" s="8"/>
    </row>
    <row r="327" spans="1:10" x14ac:dyDescent="0.3">
      <c r="A327" s="7"/>
      <c r="B327" s="8"/>
      <c r="C327" s="8"/>
      <c r="D327" s="9"/>
      <c r="E327" s="10"/>
      <c r="F327" s="11"/>
      <c r="G327" s="8"/>
      <c r="H327" s="8"/>
      <c r="I327" s="8"/>
      <c r="J327" s="8"/>
    </row>
    <row r="328" spans="1:10" x14ac:dyDescent="0.3">
      <c r="A328" s="7"/>
      <c r="B328" s="8"/>
      <c r="C328" s="8"/>
      <c r="D328" s="9"/>
      <c r="E328" s="10"/>
      <c r="F328" s="11"/>
      <c r="G328" s="8"/>
      <c r="H328" s="8"/>
      <c r="I328" s="8"/>
      <c r="J328" s="8"/>
    </row>
    <row r="329" spans="1:10" x14ac:dyDescent="0.3">
      <c r="A329" s="7"/>
      <c r="B329" s="8"/>
      <c r="C329" s="8"/>
      <c r="D329" s="9"/>
      <c r="E329" s="10"/>
      <c r="F329" s="11"/>
      <c r="G329" s="8"/>
      <c r="H329" s="8"/>
      <c r="I329" s="8"/>
      <c r="J329" s="8"/>
    </row>
    <row r="330" spans="1:10" x14ac:dyDescent="0.3">
      <c r="A330" s="7"/>
      <c r="B330" s="8"/>
      <c r="C330" s="8"/>
      <c r="D330" s="9"/>
      <c r="E330" s="10"/>
      <c r="F330" s="11"/>
      <c r="G330" s="8"/>
      <c r="H330" s="8"/>
      <c r="I330" s="8"/>
      <c r="J330" s="8"/>
    </row>
    <row r="331" spans="1:10" x14ac:dyDescent="0.3">
      <c r="A331" s="7"/>
      <c r="B331" s="8"/>
      <c r="C331" s="8"/>
      <c r="D331" s="9"/>
      <c r="E331" s="10"/>
      <c r="F331" s="11"/>
      <c r="G331" s="8"/>
      <c r="H331" s="8"/>
      <c r="I331" s="8"/>
      <c r="J331" s="8"/>
    </row>
    <row r="332" spans="1:10" x14ac:dyDescent="0.3">
      <c r="A332" s="7"/>
      <c r="B332" s="8"/>
      <c r="C332" s="8"/>
      <c r="D332" s="9"/>
      <c r="E332" s="10"/>
      <c r="F332" s="11"/>
      <c r="G332" s="8"/>
      <c r="H332" s="8"/>
      <c r="I332" s="8"/>
      <c r="J332" s="8"/>
    </row>
    <row r="333" spans="1:10" x14ac:dyDescent="0.3">
      <c r="A333" s="7"/>
      <c r="B333" s="8"/>
      <c r="C333" s="8"/>
      <c r="D333" s="9"/>
      <c r="E333" s="10"/>
      <c r="F333" s="11"/>
      <c r="G333" s="8"/>
      <c r="H333" s="8"/>
      <c r="I333" s="8"/>
      <c r="J333" s="8"/>
    </row>
    <row r="334" spans="1:10" x14ac:dyDescent="0.3">
      <c r="A334" s="7"/>
      <c r="B334" s="8"/>
      <c r="C334" s="8"/>
      <c r="D334" s="9"/>
      <c r="E334" s="10"/>
      <c r="F334" s="11"/>
      <c r="G334" s="8"/>
      <c r="H334" s="8"/>
      <c r="I334" s="8"/>
      <c r="J334" s="8"/>
    </row>
    <row r="335" spans="1:10" x14ac:dyDescent="0.3">
      <c r="A335" s="7"/>
      <c r="B335" s="8"/>
      <c r="C335" s="8"/>
      <c r="D335" s="9"/>
      <c r="E335" s="10"/>
      <c r="F335" s="11"/>
      <c r="G335" s="8"/>
      <c r="H335" s="8"/>
      <c r="I335" s="8"/>
      <c r="J335" s="8"/>
    </row>
    <row r="336" spans="1:10" x14ac:dyDescent="0.3">
      <c r="A336" s="7"/>
      <c r="B336" s="8"/>
      <c r="C336" s="8"/>
      <c r="D336" s="9"/>
      <c r="E336" s="10"/>
      <c r="F336" s="11"/>
      <c r="G336" s="8"/>
      <c r="H336" s="8"/>
      <c r="I336" s="8"/>
      <c r="J336" s="8"/>
    </row>
    <row r="337" spans="1:10" x14ac:dyDescent="0.3">
      <c r="A337" s="7"/>
      <c r="B337" s="8"/>
      <c r="C337" s="8"/>
      <c r="D337" s="9"/>
      <c r="E337" s="10"/>
      <c r="F337" s="11"/>
      <c r="G337" s="8"/>
      <c r="H337" s="8"/>
      <c r="I337" s="8"/>
      <c r="J337" s="8"/>
    </row>
    <row r="338" spans="1:10" x14ac:dyDescent="0.3">
      <c r="A338" s="7"/>
      <c r="B338" s="8"/>
      <c r="C338" s="8"/>
      <c r="D338" s="9"/>
      <c r="E338" s="10"/>
      <c r="F338" s="11"/>
      <c r="G338" s="8"/>
      <c r="H338" s="8"/>
      <c r="I338" s="8"/>
      <c r="J338" s="8"/>
    </row>
    <row r="339" spans="1:10" x14ac:dyDescent="0.3">
      <c r="A339" s="7"/>
      <c r="B339" s="8"/>
      <c r="C339" s="8"/>
      <c r="D339" s="9"/>
      <c r="E339" s="10"/>
      <c r="F339" s="11"/>
      <c r="G339" s="8"/>
      <c r="H339" s="8"/>
      <c r="I339" s="8"/>
      <c r="J339" s="8"/>
    </row>
    <row r="340" spans="1:10" x14ac:dyDescent="0.3">
      <c r="A340" s="7"/>
      <c r="B340" s="8"/>
      <c r="C340" s="8"/>
      <c r="D340" s="9"/>
      <c r="E340" s="10"/>
      <c r="F340" s="11"/>
      <c r="G340" s="8"/>
      <c r="H340" s="8"/>
      <c r="I340" s="8"/>
      <c r="J340" s="8"/>
    </row>
    <row r="341" spans="1:10" x14ac:dyDescent="0.3">
      <c r="A341" s="7"/>
      <c r="B341" s="8"/>
      <c r="C341" s="8"/>
      <c r="D341" s="9"/>
      <c r="E341" s="10"/>
      <c r="F341" s="11"/>
      <c r="G341" s="8"/>
      <c r="H341" s="8"/>
      <c r="I341" s="8"/>
      <c r="J341" s="8"/>
    </row>
    <row r="342" spans="1:10" x14ac:dyDescent="0.3">
      <c r="A342" s="7"/>
      <c r="B342" s="8"/>
      <c r="C342" s="8"/>
      <c r="D342" s="9"/>
      <c r="E342" s="10"/>
      <c r="F342" s="11"/>
      <c r="G342" s="8"/>
      <c r="H342" s="8"/>
      <c r="I342" s="8"/>
      <c r="J342" s="8"/>
    </row>
    <row r="343" spans="1:10" x14ac:dyDescent="0.3">
      <c r="A343" s="7"/>
      <c r="B343" s="8"/>
      <c r="C343" s="8"/>
      <c r="D343" s="9"/>
      <c r="E343" s="10"/>
      <c r="F343" s="11"/>
      <c r="G343" s="8"/>
      <c r="H343" s="8"/>
      <c r="I343" s="8"/>
      <c r="J343" s="8"/>
    </row>
    <row r="344" spans="1:10" x14ac:dyDescent="0.3">
      <c r="A344" s="7"/>
      <c r="B344" s="8"/>
      <c r="C344" s="8"/>
      <c r="D344" s="9"/>
      <c r="E344" s="10"/>
      <c r="F344" s="11"/>
      <c r="G344" s="8"/>
      <c r="H344" s="8"/>
      <c r="I344" s="8"/>
      <c r="J344" s="8"/>
    </row>
    <row r="345" spans="1:10" x14ac:dyDescent="0.3">
      <c r="A345" s="7"/>
      <c r="B345" s="8"/>
      <c r="C345" s="8"/>
      <c r="D345" s="9"/>
      <c r="E345" s="10"/>
      <c r="F345" s="11"/>
      <c r="G345" s="8"/>
      <c r="H345" s="8"/>
      <c r="I345" s="8"/>
      <c r="J345" s="8"/>
    </row>
    <row r="346" spans="1:10" x14ac:dyDescent="0.3">
      <c r="A346" s="7"/>
      <c r="B346" s="8"/>
      <c r="C346" s="8"/>
      <c r="D346" s="9"/>
      <c r="E346" s="10"/>
      <c r="F346" s="11"/>
      <c r="G346" s="8"/>
      <c r="H346" s="8"/>
      <c r="I346" s="8"/>
      <c r="J346" s="8"/>
    </row>
    <row r="347" spans="1:10" x14ac:dyDescent="0.3">
      <c r="A347" s="7"/>
      <c r="B347" s="8"/>
      <c r="C347" s="8"/>
      <c r="D347" s="9"/>
      <c r="E347" s="10"/>
      <c r="F347" s="11"/>
      <c r="G347" s="8"/>
      <c r="H347" s="8"/>
      <c r="I347" s="8"/>
      <c r="J347" s="8"/>
    </row>
    <row r="348" spans="1:10" x14ac:dyDescent="0.3">
      <c r="A348" s="7"/>
      <c r="B348" s="8"/>
      <c r="C348" s="8"/>
      <c r="D348" s="9"/>
      <c r="E348" s="10"/>
      <c r="F348" s="11"/>
      <c r="G348" s="8"/>
      <c r="H348" s="8"/>
      <c r="I348" s="8"/>
      <c r="J348" s="8"/>
    </row>
    <row r="349" spans="1:10" x14ac:dyDescent="0.3">
      <c r="A349" s="7"/>
      <c r="B349" s="8"/>
      <c r="C349" s="8"/>
      <c r="D349" s="9"/>
      <c r="E349" s="10"/>
      <c r="F349" s="11"/>
      <c r="G349" s="8"/>
      <c r="H349" s="8"/>
      <c r="I349" s="8"/>
      <c r="J349" s="8"/>
    </row>
    <row r="350" spans="1:10" x14ac:dyDescent="0.3">
      <c r="A350" s="7"/>
      <c r="B350" s="8"/>
      <c r="C350" s="8"/>
      <c r="D350" s="9"/>
      <c r="E350" s="10"/>
      <c r="F350" s="11"/>
      <c r="G350" s="8"/>
      <c r="H350" s="8"/>
      <c r="I350" s="8"/>
      <c r="J350" s="8"/>
    </row>
    <row r="351" spans="1:10" x14ac:dyDescent="0.3">
      <c r="A351" s="7"/>
      <c r="B351" s="8"/>
      <c r="C351" s="8"/>
      <c r="D351" s="9"/>
      <c r="E351" s="10"/>
      <c r="F351" s="11"/>
      <c r="G351" s="8"/>
      <c r="H351" s="8"/>
      <c r="I351" s="8"/>
      <c r="J351" s="8"/>
    </row>
    <row r="352" spans="1:10" x14ac:dyDescent="0.3">
      <c r="A352" s="7"/>
      <c r="B352" s="8"/>
      <c r="C352" s="8"/>
      <c r="D352" s="9"/>
      <c r="E352" s="10"/>
      <c r="F352" s="11"/>
      <c r="G352" s="8"/>
      <c r="H352" s="8"/>
      <c r="I352" s="8"/>
      <c r="J352" s="8"/>
    </row>
    <row r="353" spans="1:10" x14ac:dyDescent="0.3">
      <c r="A353" s="7"/>
      <c r="B353" s="8"/>
      <c r="C353" s="8"/>
      <c r="D353" s="9"/>
      <c r="E353" s="10"/>
      <c r="F353" s="11"/>
      <c r="G353" s="8"/>
      <c r="H353" s="8"/>
      <c r="I353" s="8"/>
      <c r="J353" s="8"/>
    </row>
    <row r="354" spans="1:10" x14ac:dyDescent="0.3">
      <c r="A354" s="7"/>
      <c r="B354" s="8"/>
      <c r="C354" s="8"/>
      <c r="D354" s="9"/>
      <c r="E354" s="10"/>
      <c r="F354" s="11"/>
      <c r="G354" s="8"/>
      <c r="H354" s="8"/>
      <c r="I354" s="8"/>
      <c r="J354" s="8"/>
    </row>
    <row r="355" spans="1:10" x14ac:dyDescent="0.3">
      <c r="A355" s="7"/>
      <c r="B355" s="8"/>
      <c r="C355" s="8"/>
      <c r="D355" s="9"/>
      <c r="E355" s="10"/>
      <c r="F355" s="11"/>
      <c r="G355" s="8"/>
      <c r="H355" s="8"/>
      <c r="I355" s="8"/>
      <c r="J355" s="8"/>
    </row>
    <row r="356" spans="1:10" x14ac:dyDescent="0.3">
      <c r="A356" s="7"/>
      <c r="B356" s="8"/>
      <c r="C356" s="8"/>
      <c r="D356" s="9"/>
      <c r="E356" s="10"/>
      <c r="F356" s="11"/>
      <c r="G356" s="8"/>
      <c r="H356" s="8"/>
      <c r="I356" s="8"/>
      <c r="J356" s="8"/>
    </row>
    <row r="357" spans="1:10" x14ac:dyDescent="0.3">
      <c r="A357" s="7"/>
      <c r="B357" s="8"/>
      <c r="C357" s="8"/>
      <c r="D357" s="9"/>
      <c r="E357" s="10"/>
      <c r="F357" s="11"/>
      <c r="G357" s="8"/>
      <c r="H357" s="8"/>
      <c r="I357" s="8"/>
      <c r="J357" s="8"/>
    </row>
    <row r="358" spans="1:10" x14ac:dyDescent="0.3">
      <c r="A358" s="7"/>
      <c r="B358" s="8"/>
      <c r="C358" s="8"/>
      <c r="D358" s="9"/>
      <c r="E358" s="10"/>
      <c r="F358" s="11"/>
      <c r="G358" s="8"/>
      <c r="H358" s="8"/>
      <c r="I358" s="8"/>
      <c r="J358" s="8"/>
    </row>
    <row r="359" spans="1:10" x14ac:dyDescent="0.3">
      <c r="A359" s="7"/>
      <c r="B359" s="8"/>
      <c r="C359" s="8"/>
      <c r="D359" s="9"/>
      <c r="E359" s="10"/>
      <c r="F359" s="11"/>
      <c r="G359" s="8"/>
      <c r="H359" s="8"/>
      <c r="I359" s="8"/>
      <c r="J359" s="8"/>
    </row>
    <row r="360" spans="1:10" x14ac:dyDescent="0.3">
      <c r="A360" s="7"/>
      <c r="B360" s="8"/>
      <c r="C360" s="8"/>
      <c r="D360" s="9"/>
      <c r="E360" s="10"/>
      <c r="F360" s="11"/>
      <c r="G360" s="8"/>
      <c r="H360" s="8"/>
      <c r="I360" s="8"/>
      <c r="J360" s="8"/>
    </row>
    <row r="361" spans="1:10" x14ac:dyDescent="0.3">
      <c r="A361" s="7"/>
      <c r="B361" s="8"/>
      <c r="C361" s="8"/>
      <c r="D361" s="9"/>
      <c r="E361" s="10"/>
      <c r="F361" s="11"/>
      <c r="G361" s="8"/>
      <c r="H361" s="8"/>
      <c r="I361" s="8"/>
      <c r="J361" s="8"/>
    </row>
    <row r="362" spans="1:10" x14ac:dyDescent="0.3">
      <c r="A362" s="7"/>
      <c r="B362" s="8"/>
      <c r="C362" s="8"/>
      <c r="D362" s="9"/>
      <c r="E362" s="10"/>
      <c r="F362" s="11"/>
      <c r="G362" s="8"/>
      <c r="H362" s="8"/>
      <c r="I362" s="8"/>
      <c r="J362" s="8"/>
    </row>
    <row r="363" spans="1:10" x14ac:dyDescent="0.3">
      <c r="A363" s="7"/>
      <c r="B363" s="8"/>
      <c r="C363" s="8"/>
      <c r="D363" s="9"/>
      <c r="E363" s="10"/>
      <c r="F363" s="11"/>
      <c r="G363" s="8"/>
      <c r="H363" s="8"/>
      <c r="I363" s="8"/>
      <c r="J363" s="8"/>
    </row>
    <row r="364" spans="1:10" x14ac:dyDescent="0.3">
      <c r="A364" s="7"/>
      <c r="B364" s="8"/>
      <c r="C364" s="8"/>
      <c r="D364" s="9"/>
      <c r="E364" s="10"/>
      <c r="F364" s="11"/>
      <c r="G364" s="8"/>
      <c r="H364" s="8"/>
      <c r="I364" s="8"/>
      <c r="J364" s="8"/>
    </row>
    <row r="365" spans="1:10" x14ac:dyDescent="0.3">
      <c r="A365" s="7"/>
      <c r="B365" s="8"/>
      <c r="C365" s="8"/>
      <c r="D365" s="9"/>
      <c r="E365" s="10"/>
      <c r="F365" s="11"/>
      <c r="G365" s="8"/>
      <c r="H365" s="8"/>
      <c r="I365" s="8"/>
      <c r="J365" s="8"/>
    </row>
    <row r="366" spans="1:10" x14ac:dyDescent="0.3">
      <c r="A366" s="7"/>
      <c r="B366" s="8"/>
      <c r="C366" s="8"/>
      <c r="D366" s="9"/>
      <c r="E366" s="10"/>
      <c r="F366" s="11"/>
      <c r="G366" s="8"/>
      <c r="H366" s="8"/>
      <c r="I366" s="8"/>
      <c r="J366" s="8"/>
    </row>
    <row r="367" spans="1:10" x14ac:dyDescent="0.3">
      <c r="A367" s="7"/>
      <c r="B367" s="8"/>
      <c r="C367" s="8"/>
      <c r="D367" s="9"/>
      <c r="E367" s="10"/>
      <c r="F367" s="11"/>
      <c r="G367" s="8"/>
      <c r="H367" s="8"/>
      <c r="I367" s="8"/>
      <c r="J367" s="8"/>
    </row>
    <row r="368" spans="1:10" x14ac:dyDescent="0.3">
      <c r="A368" s="7"/>
      <c r="B368" s="8"/>
      <c r="C368" s="8"/>
      <c r="D368" s="9"/>
      <c r="E368" s="10"/>
      <c r="F368" s="11"/>
      <c r="G368" s="8"/>
      <c r="H368" s="8"/>
      <c r="I368" s="8"/>
      <c r="J368" s="8"/>
    </row>
    <row r="369" spans="1:10" x14ac:dyDescent="0.3">
      <c r="A369" s="7"/>
      <c r="B369" s="8"/>
      <c r="C369" s="8"/>
      <c r="D369" s="9"/>
      <c r="E369" s="10"/>
      <c r="F369" s="11"/>
      <c r="G369" s="8"/>
      <c r="H369" s="8"/>
      <c r="I369" s="8"/>
      <c r="J369" s="8"/>
    </row>
    <row r="370" spans="1:10" x14ac:dyDescent="0.3">
      <c r="A370" s="7"/>
      <c r="B370" s="8"/>
      <c r="C370" s="8"/>
      <c r="D370" s="9"/>
      <c r="E370" s="10"/>
      <c r="F370" s="11"/>
      <c r="G370" s="8"/>
      <c r="H370" s="8"/>
      <c r="I370" s="8"/>
      <c r="J370" s="8"/>
    </row>
    <row r="371" spans="1:10" x14ac:dyDescent="0.3">
      <c r="A371" s="7"/>
      <c r="B371" s="8"/>
      <c r="C371" s="8"/>
      <c r="D371" s="9"/>
      <c r="E371" s="10"/>
      <c r="F371" s="11"/>
      <c r="G371" s="8"/>
      <c r="H371" s="8"/>
      <c r="I371" s="8"/>
      <c r="J371" s="8"/>
    </row>
    <row r="372" spans="1:10" x14ac:dyDescent="0.3">
      <c r="A372" s="7"/>
      <c r="B372" s="8"/>
      <c r="C372" s="8"/>
      <c r="D372" s="9"/>
      <c r="E372" s="10"/>
      <c r="F372" s="11"/>
      <c r="G372" s="8"/>
      <c r="H372" s="8"/>
      <c r="I372" s="8"/>
      <c r="J372" s="8"/>
    </row>
    <row r="373" spans="1:10" x14ac:dyDescent="0.3">
      <c r="A373" s="7"/>
      <c r="B373" s="8"/>
      <c r="C373" s="8"/>
      <c r="D373" s="9"/>
      <c r="E373" s="10"/>
      <c r="F373" s="11"/>
      <c r="G373" s="8"/>
      <c r="H373" s="8"/>
      <c r="I373" s="8"/>
      <c r="J373" s="8"/>
    </row>
    <row r="374" spans="1:10" x14ac:dyDescent="0.3">
      <c r="A374" s="7"/>
      <c r="B374" s="8"/>
      <c r="C374" s="8"/>
      <c r="D374" s="9"/>
      <c r="E374" s="10"/>
      <c r="F374" s="11"/>
      <c r="G374" s="8"/>
      <c r="H374" s="8"/>
      <c r="I374" s="8"/>
      <c r="J374" s="8"/>
    </row>
    <row r="375" spans="1:10" x14ac:dyDescent="0.3">
      <c r="A375" s="7"/>
      <c r="B375" s="8"/>
      <c r="C375" s="8"/>
      <c r="D375" s="9"/>
      <c r="E375" s="10"/>
      <c r="F375" s="11"/>
      <c r="G375" s="8"/>
      <c r="H375" s="8"/>
      <c r="I375" s="8"/>
      <c r="J375" s="8"/>
    </row>
    <row r="376" spans="1:10" x14ac:dyDescent="0.3">
      <c r="A376" s="7"/>
      <c r="B376" s="8"/>
      <c r="C376" s="8"/>
      <c r="D376" s="9"/>
      <c r="E376" s="10"/>
      <c r="F376" s="11"/>
      <c r="G376" s="8"/>
      <c r="H376" s="8"/>
      <c r="I376" s="8"/>
      <c r="J376" s="8"/>
    </row>
    <row r="377" spans="1:10" x14ac:dyDescent="0.3">
      <c r="A377" s="7"/>
      <c r="B377" s="8"/>
      <c r="C377" s="8"/>
      <c r="D377" s="9"/>
      <c r="E377" s="10"/>
      <c r="F377" s="11"/>
      <c r="G377" s="8"/>
      <c r="H377" s="8"/>
      <c r="I377" s="8"/>
      <c r="J377" s="8"/>
    </row>
    <row r="378" spans="1:10" x14ac:dyDescent="0.3">
      <c r="A378" s="7"/>
      <c r="B378" s="8"/>
      <c r="C378" s="8"/>
      <c r="D378" s="9"/>
      <c r="E378" s="10"/>
      <c r="F378" s="11"/>
      <c r="G378" s="8"/>
      <c r="H378" s="8"/>
      <c r="I378" s="8"/>
      <c r="J378" s="8"/>
    </row>
    <row r="379" spans="1:10" x14ac:dyDescent="0.3">
      <c r="A379" s="7"/>
      <c r="B379" s="8"/>
      <c r="C379" s="8"/>
      <c r="D379" s="9"/>
      <c r="E379" s="10"/>
      <c r="F379" s="11"/>
      <c r="G379" s="8"/>
      <c r="H379" s="8"/>
      <c r="I379" s="8"/>
      <c r="J379" s="8"/>
    </row>
    <row r="380" spans="1:10" x14ac:dyDescent="0.3">
      <c r="A380" s="7"/>
      <c r="B380" s="8"/>
      <c r="C380" s="8"/>
      <c r="D380" s="9"/>
      <c r="E380" s="10"/>
      <c r="F380" s="11"/>
      <c r="G380" s="8"/>
      <c r="H380" s="8"/>
      <c r="I380" s="8"/>
      <c r="J380" s="8"/>
    </row>
    <row r="381" spans="1:10" x14ac:dyDescent="0.3">
      <c r="A381" s="7"/>
      <c r="B381" s="8"/>
      <c r="C381" s="8"/>
      <c r="D381" s="9"/>
      <c r="E381" s="10"/>
      <c r="F381" s="11"/>
      <c r="G381" s="8"/>
      <c r="H381" s="8"/>
      <c r="I381" s="8"/>
      <c r="J381" s="8"/>
    </row>
    <row r="382" spans="1:10" x14ac:dyDescent="0.3">
      <c r="A382" s="7"/>
      <c r="B382" s="8"/>
      <c r="C382" s="8"/>
      <c r="D382" s="9"/>
      <c r="E382" s="10"/>
      <c r="F382" s="11"/>
      <c r="G382" s="8"/>
      <c r="H382" s="8"/>
      <c r="I382" s="8"/>
      <c r="J382" s="8"/>
    </row>
    <row r="383" spans="1:10" x14ac:dyDescent="0.3">
      <c r="A383" s="7"/>
      <c r="B383" s="8"/>
      <c r="C383" s="8"/>
      <c r="D383" s="9"/>
      <c r="E383" s="10"/>
      <c r="F383" s="11"/>
      <c r="G383" s="8"/>
      <c r="H383" s="8"/>
      <c r="I383" s="8"/>
      <c r="J383" s="8"/>
    </row>
    <row r="384" spans="1:10" x14ac:dyDescent="0.3">
      <c r="A384" s="7"/>
      <c r="B384" s="8"/>
      <c r="C384" s="8"/>
      <c r="D384" s="9"/>
      <c r="E384" s="10"/>
      <c r="F384" s="11"/>
      <c r="G384" s="8"/>
      <c r="H384" s="8"/>
      <c r="I384" s="8"/>
      <c r="J384" s="8"/>
    </row>
    <row r="385" spans="1:10" x14ac:dyDescent="0.3">
      <c r="A385" s="7"/>
      <c r="B385" s="8"/>
      <c r="C385" s="8"/>
      <c r="D385" s="9"/>
      <c r="E385" s="10"/>
      <c r="F385" s="11"/>
      <c r="G385" s="8"/>
      <c r="H385" s="8"/>
      <c r="I385" s="8"/>
      <c r="J385" s="8"/>
    </row>
    <row r="386" spans="1:10" x14ac:dyDescent="0.3">
      <c r="A386" s="7"/>
      <c r="B386" s="8"/>
      <c r="C386" s="8"/>
      <c r="D386" s="9"/>
      <c r="E386" s="10"/>
      <c r="F386" s="11"/>
      <c r="G386" s="8"/>
      <c r="H386" s="8"/>
      <c r="I386" s="8"/>
      <c r="J386" s="8"/>
    </row>
    <row r="387" spans="1:10" x14ac:dyDescent="0.3">
      <c r="A387" s="7"/>
      <c r="B387" s="8"/>
      <c r="C387" s="8"/>
      <c r="D387" s="9"/>
      <c r="E387" s="10"/>
      <c r="F387" s="11"/>
      <c r="G387" s="8"/>
      <c r="H387" s="8"/>
      <c r="I387" s="8"/>
      <c r="J387" s="8"/>
    </row>
    <row r="388" spans="1:10" x14ac:dyDescent="0.3">
      <c r="A388" s="7"/>
      <c r="B388" s="8"/>
      <c r="C388" s="8"/>
      <c r="D388" s="9"/>
      <c r="E388" s="10"/>
      <c r="F388" s="11"/>
      <c r="G388" s="8"/>
      <c r="H388" s="8"/>
      <c r="I388" s="8"/>
      <c r="J388" s="8"/>
    </row>
    <row r="389" spans="1:10" x14ac:dyDescent="0.3">
      <c r="A389" s="7"/>
      <c r="B389" s="8"/>
      <c r="C389" s="8"/>
      <c r="D389" s="9"/>
      <c r="E389" s="10"/>
      <c r="F389" s="11"/>
      <c r="G389" s="8"/>
      <c r="H389" s="8"/>
      <c r="I389" s="8"/>
      <c r="J389" s="8"/>
    </row>
    <row r="390" spans="1:10" x14ac:dyDescent="0.3">
      <c r="A390" s="7"/>
      <c r="B390" s="8"/>
      <c r="C390" s="8"/>
      <c r="D390" s="9"/>
      <c r="E390" s="10"/>
      <c r="F390" s="11"/>
      <c r="G390" s="8"/>
      <c r="H390" s="8"/>
      <c r="I390" s="8"/>
      <c r="J390" s="8"/>
    </row>
    <row r="391" spans="1:10" x14ac:dyDescent="0.3">
      <c r="A391" s="7"/>
      <c r="B391" s="8"/>
      <c r="C391" s="8"/>
      <c r="D391" s="9"/>
      <c r="E391" s="10"/>
      <c r="F391" s="11"/>
      <c r="G391" s="8"/>
      <c r="H391" s="8"/>
      <c r="I391" s="8"/>
      <c r="J391" s="8"/>
    </row>
    <row r="392" spans="1:10" x14ac:dyDescent="0.3">
      <c r="A392" s="7"/>
      <c r="B392" s="8"/>
      <c r="C392" s="8"/>
      <c r="D392" s="9"/>
      <c r="E392" s="10"/>
      <c r="F392" s="11"/>
      <c r="G392" s="8"/>
      <c r="H392" s="8"/>
      <c r="I392" s="8"/>
      <c r="J392" s="8"/>
    </row>
    <row r="393" spans="1:10" x14ac:dyDescent="0.3">
      <c r="A393" s="7"/>
      <c r="B393" s="8"/>
      <c r="C393" s="8"/>
      <c r="D393" s="9"/>
      <c r="E393" s="10"/>
      <c r="F393" s="11"/>
      <c r="G393" s="8"/>
      <c r="H393" s="8"/>
      <c r="I393" s="8"/>
      <c r="J393" s="8"/>
    </row>
    <row r="394" spans="1:10" x14ac:dyDescent="0.3">
      <c r="A394" s="7"/>
      <c r="B394" s="8"/>
      <c r="C394" s="8"/>
      <c r="D394" s="9"/>
      <c r="E394" s="10"/>
      <c r="F394" s="11"/>
      <c r="G394" s="8"/>
      <c r="H394" s="8"/>
      <c r="I394" s="8"/>
      <c r="J394" s="8"/>
    </row>
    <row r="395" spans="1:10" x14ac:dyDescent="0.3">
      <c r="A395" s="7"/>
      <c r="B395" s="8"/>
      <c r="C395" s="8"/>
      <c r="D395" s="9"/>
      <c r="E395" s="10"/>
      <c r="F395" s="11"/>
      <c r="G395" s="8"/>
      <c r="H395" s="8"/>
      <c r="I395" s="8"/>
      <c r="J395" s="8"/>
    </row>
    <row r="396" spans="1:10" x14ac:dyDescent="0.3">
      <c r="A396" s="7"/>
      <c r="B396" s="8"/>
      <c r="C396" s="8"/>
      <c r="D396" s="9"/>
      <c r="E396" s="10"/>
      <c r="F396" s="11"/>
      <c r="G396" s="8"/>
      <c r="H396" s="8"/>
      <c r="I396" s="8"/>
      <c r="J396" s="8"/>
    </row>
    <row r="397" spans="1:10" x14ac:dyDescent="0.3">
      <c r="A397" s="7"/>
      <c r="B397" s="8"/>
      <c r="C397" s="8"/>
      <c r="D397" s="9"/>
      <c r="E397" s="10"/>
      <c r="F397" s="11"/>
      <c r="G397" s="8"/>
      <c r="H397" s="8"/>
      <c r="I397" s="8"/>
      <c r="J397" s="8"/>
    </row>
    <row r="398" spans="1:10" x14ac:dyDescent="0.3">
      <c r="A398" s="7"/>
      <c r="B398" s="8"/>
      <c r="C398" s="8"/>
      <c r="D398" s="9"/>
      <c r="E398" s="10"/>
      <c r="F398" s="11"/>
      <c r="G398" s="8"/>
      <c r="H398" s="8"/>
      <c r="I398" s="8"/>
      <c r="J398" s="8"/>
    </row>
    <row r="399" spans="1:10" x14ac:dyDescent="0.3">
      <c r="A399" s="7"/>
      <c r="B399" s="8"/>
      <c r="C399" s="8"/>
      <c r="D399" s="9"/>
      <c r="E399" s="10"/>
      <c r="F399" s="11"/>
      <c r="G399" s="8"/>
      <c r="H399" s="8"/>
      <c r="I399" s="8"/>
      <c r="J399" s="8"/>
    </row>
    <row r="400" spans="1:10" x14ac:dyDescent="0.3">
      <c r="A400" s="7"/>
      <c r="B400" s="8"/>
      <c r="C400" s="8"/>
      <c r="D400" s="9"/>
      <c r="E400" s="10"/>
      <c r="F400" s="11"/>
      <c r="G400" s="8"/>
      <c r="H400" s="8"/>
      <c r="I400" s="8"/>
      <c r="J400" s="8"/>
    </row>
    <row r="401" spans="1:10" x14ac:dyDescent="0.3">
      <c r="A401" s="7"/>
      <c r="B401" s="8"/>
      <c r="C401" s="8"/>
      <c r="D401" s="9"/>
      <c r="E401" s="10"/>
      <c r="F401" s="11"/>
      <c r="G401" s="8"/>
      <c r="H401" s="8"/>
      <c r="I401" s="8"/>
      <c r="J401" s="8"/>
    </row>
    <row r="402" spans="1:10" x14ac:dyDescent="0.3">
      <c r="A402" s="7"/>
      <c r="B402" s="8"/>
      <c r="C402" s="8"/>
      <c r="D402" s="9"/>
      <c r="E402" s="10"/>
      <c r="F402" s="11"/>
      <c r="G402" s="8"/>
      <c r="H402" s="8"/>
      <c r="I402" s="8"/>
      <c r="J402" s="8"/>
    </row>
    <row r="403" spans="1:10" x14ac:dyDescent="0.3">
      <c r="A403" s="7"/>
      <c r="B403" s="8"/>
      <c r="C403" s="8"/>
      <c r="D403" s="9"/>
      <c r="E403" s="10"/>
      <c r="F403" s="11"/>
      <c r="G403" s="8"/>
      <c r="H403" s="8"/>
      <c r="I403" s="8"/>
      <c r="J403" s="8"/>
    </row>
    <row r="404" spans="1:10" x14ac:dyDescent="0.3">
      <c r="A404" s="7"/>
      <c r="B404" s="8"/>
      <c r="C404" s="8"/>
      <c r="D404" s="9"/>
      <c r="E404" s="10"/>
      <c r="F404" s="11"/>
      <c r="G404" s="8"/>
      <c r="H404" s="8"/>
      <c r="I404" s="8"/>
      <c r="J404" s="8"/>
    </row>
    <row r="405" spans="1:10" x14ac:dyDescent="0.3">
      <c r="A405" s="7"/>
      <c r="B405" s="8"/>
      <c r="C405" s="8"/>
      <c r="D405" s="9"/>
      <c r="E405" s="10"/>
      <c r="F405" s="11"/>
      <c r="G405" s="8"/>
      <c r="H405" s="8"/>
      <c r="I405" s="8"/>
      <c r="J405" s="8"/>
    </row>
    <row r="406" spans="1:10" x14ac:dyDescent="0.3">
      <c r="A406" s="7"/>
      <c r="B406" s="8"/>
      <c r="C406" s="8"/>
      <c r="D406" s="9"/>
      <c r="E406" s="10"/>
      <c r="F406" s="11"/>
      <c r="G406" s="8"/>
      <c r="H406" s="8"/>
      <c r="I406" s="8"/>
      <c r="J406" s="8"/>
    </row>
    <row r="407" spans="1:10" x14ac:dyDescent="0.3">
      <c r="A407" s="7"/>
      <c r="B407" s="8"/>
      <c r="C407" s="8"/>
      <c r="D407" s="9"/>
      <c r="E407" s="10"/>
      <c r="F407" s="11"/>
      <c r="G407" s="8"/>
      <c r="H407" s="8"/>
      <c r="I407" s="8"/>
      <c r="J407" s="8"/>
    </row>
    <row r="408" spans="1:10" x14ac:dyDescent="0.3">
      <c r="A408" s="7"/>
      <c r="B408" s="8"/>
      <c r="C408" s="8"/>
      <c r="D408" s="9"/>
      <c r="E408" s="10"/>
      <c r="F408" s="11"/>
      <c r="G408" s="8"/>
      <c r="H408" s="8"/>
      <c r="I408" s="8"/>
      <c r="J408" s="8"/>
    </row>
    <row r="409" spans="1:10" x14ac:dyDescent="0.3">
      <c r="A409" s="7"/>
      <c r="B409" s="8"/>
      <c r="C409" s="8"/>
      <c r="D409" s="9"/>
      <c r="E409" s="10"/>
      <c r="F409" s="11"/>
      <c r="G409" s="8"/>
      <c r="H409" s="8"/>
      <c r="I409" s="8"/>
      <c r="J409" s="8"/>
    </row>
    <row r="410" spans="1:10" x14ac:dyDescent="0.3">
      <c r="A410" s="7"/>
      <c r="B410" s="8"/>
      <c r="C410" s="8"/>
      <c r="D410" s="9"/>
      <c r="E410" s="10"/>
      <c r="F410" s="11"/>
      <c r="G410" s="8"/>
      <c r="H410" s="8"/>
      <c r="I410" s="8"/>
      <c r="J410" s="8"/>
    </row>
    <row r="411" spans="1:10" x14ac:dyDescent="0.3">
      <c r="A411" s="7"/>
      <c r="B411" s="8"/>
      <c r="C411" s="8"/>
      <c r="D411" s="9"/>
      <c r="E411" s="10"/>
      <c r="F411" s="11"/>
      <c r="G411" s="8"/>
      <c r="H411" s="8"/>
      <c r="I411" s="8"/>
      <c r="J411" s="8"/>
    </row>
    <row r="412" spans="1:10" x14ac:dyDescent="0.3">
      <c r="A412" s="7"/>
      <c r="B412" s="8"/>
      <c r="C412" s="8"/>
      <c r="D412" s="9"/>
      <c r="E412" s="10"/>
      <c r="F412" s="11"/>
      <c r="G412" s="8"/>
      <c r="H412" s="8"/>
      <c r="I412" s="8"/>
      <c r="J412" s="8"/>
    </row>
    <row r="413" spans="1:10" x14ac:dyDescent="0.3">
      <c r="A413" s="7"/>
      <c r="B413" s="8"/>
      <c r="C413" s="8"/>
      <c r="D413" s="9"/>
      <c r="E413" s="10"/>
      <c r="F413" s="11"/>
      <c r="G413" s="8"/>
      <c r="H413" s="8"/>
      <c r="I413" s="8"/>
      <c r="J413" s="8"/>
    </row>
    <row r="414" spans="1:10" x14ac:dyDescent="0.3">
      <c r="A414" s="7"/>
      <c r="B414" s="8"/>
      <c r="C414" s="8"/>
      <c r="D414" s="9"/>
      <c r="E414" s="10"/>
      <c r="F414" s="11"/>
      <c r="G414" s="8"/>
      <c r="H414" s="8"/>
      <c r="I414" s="8"/>
      <c r="J414" s="8"/>
    </row>
    <row r="415" spans="1:10" x14ac:dyDescent="0.3">
      <c r="A415" s="7"/>
      <c r="B415" s="8"/>
      <c r="C415" s="8"/>
      <c r="D415" s="9"/>
      <c r="E415" s="10"/>
      <c r="F415" s="11"/>
      <c r="G415" s="8"/>
      <c r="H415" s="8"/>
      <c r="I415" s="8"/>
      <c r="J415" s="8"/>
    </row>
    <row r="416" spans="1:10" x14ac:dyDescent="0.3">
      <c r="A416" s="7"/>
      <c r="B416" s="8"/>
      <c r="C416" s="8"/>
      <c r="D416" s="9"/>
      <c r="E416" s="10"/>
      <c r="F416" s="11"/>
      <c r="G416" s="8"/>
      <c r="H416" s="8"/>
      <c r="I416" s="8"/>
      <c r="J416" s="8"/>
    </row>
    <row r="417" spans="1:10" x14ac:dyDescent="0.3">
      <c r="A417" s="7"/>
      <c r="B417" s="8"/>
      <c r="C417" s="8"/>
      <c r="D417" s="9"/>
      <c r="E417" s="10"/>
      <c r="F417" s="11"/>
      <c r="G417" s="8"/>
      <c r="H417" s="8"/>
      <c r="I417" s="8"/>
      <c r="J417" s="8"/>
    </row>
    <row r="418" spans="1:10" x14ac:dyDescent="0.3">
      <c r="A418" s="7"/>
      <c r="B418" s="8"/>
      <c r="C418" s="8"/>
      <c r="D418" s="9"/>
      <c r="E418" s="10"/>
      <c r="F418" s="11"/>
      <c r="G418" s="8"/>
      <c r="H418" s="8"/>
      <c r="I418" s="8"/>
      <c r="J418" s="8"/>
    </row>
    <row r="419" spans="1:10" x14ac:dyDescent="0.3">
      <c r="A419" s="7"/>
      <c r="B419" s="8"/>
      <c r="C419" s="8"/>
      <c r="D419" s="9"/>
      <c r="E419" s="10"/>
      <c r="F419" s="11"/>
      <c r="G419" s="8"/>
      <c r="H419" s="8"/>
      <c r="I419" s="8"/>
      <c r="J419" s="8"/>
    </row>
    <row r="420" spans="1:10" x14ac:dyDescent="0.3">
      <c r="A420" s="7"/>
      <c r="B420" s="8"/>
      <c r="C420" s="8"/>
      <c r="D420" s="9"/>
      <c r="E420" s="10"/>
      <c r="F420" s="11"/>
      <c r="G420" s="8"/>
      <c r="H420" s="8"/>
      <c r="I420" s="8"/>
      <c r="J420" s="8"/>
    </row>
    <row r="421" spans="1:10" x14ac:dyDescent="0.3">
      <c r="A421" s="7"/>
      <c r="B421" s="8"/>
      <c r="C421" s="8"/>
      <c r="D421" s="9"/>
      <c r="E421" s="10"/>
      <c r="F421" s="11"/>
      <c r="G421" s="8"/>
      <c r="H421" s="8"/>
      <c r="I421" s="8"/>
      <c r="J421" s="8"/>
    </row>
    <row r="422" spans="1:10" x14ac:dyDescent="0.3">
      <c r="A422" s="7"/>
      <c r="B422" s="8"/>
      <c r="C422" s="8"/>
      <c r="D422" s="9"/>
      <c r="E422" s="10"/>
      <c r="F422" s="11"/>
      <c r="G422" s="8"/>
      <c r="H422" s="8"/>
      <c r="I422" s="8"/>
      <c r="J422" s="8"/>
    </row>
    <row r="423" spans="1:10" x14ac:dyDescent="0.3">
      <c r="A423" s="7"/>
      <c r="B423" s="8"/>
      <c r="C423" s="8"/>
      <c r="D423" s="9"/>
      <c r="E423" s="10"/>
      <c r="F423" s="11"/>
      <c r="G423" s="8"/>
      <c r="H423" s="8"/>
      <c r="I423" s="8"/>
      <c r="J423" s="8"/>
    </row>
    <row r="424" spans="1:10" x14ac:dyDescent="0.3">
      <c r="A424" s="7"/>
      <c r="B424" s="8"/>
      <c r="C424" s="8"/>
      <c r="D424" s="9"/>
      <c r="E424" s="10"/>
      <c r="F424" s="11"/>
      <c r="G424" s="8"/>
      <c r="H424" s="8"/>
      <c r="I424" s="8"/>
      <c r="J424" s="8"/>
    </row>
    <row r="425" spans="1:10" x14ac:dyDescent="0.3">
      <c r="A425" s="7"/>
      <c r="B425" s="8"/>
      <c r="C425" s="8"/>
      <c r="D425" s="9"/>
      <c r="E425" s="10"/>
      <c r="F425" s="11"/>
      <c r="G425" s="8"/>
      <c r="H425" s="8"/>
      <c r="I425" s="8"/>
      <c r="J425" s="8"/>
    </row>
    <row r="426" spans="1:10" x14ac:dyDescent="0.3">
      <c r="A426" s="7"/>
      <c r="B426" s="8"/>
      <c r="C426" s="8"/>
      <c r="D426" s="9"/>
      <c r="E426" s="10"/>
      <c r="F426" s="11"/>
      <c r="G426" s="8"/>
      <c r="H426" s="8"/>
      <c r="I426" s="8"/>
      <c r="J426" s="8"/>
    </row>
    <row r="427" spans="1:10" x14ac:dyDescent="0.3">
      <c r="A427" s="7"/>
      <c r="B427" s="8"/>
      <c r="C427" s="8"/>
      <c r="D427" s="9"/>
      <c r="E427" s="10"/>
      <c r="F427" s="11"/>
      <c r="G427" s="8"/>
      <c r="H427" s="8"/>
      <c r="I427" s="8"/>
      <c r="J427" s="8"/>
    </row>
    <row r="428" spans="1:10" x14ac:dyDescent="0.3">
      <c r="A428" s="7"/>
      <c r="B428" s="8"/>
      <c r="C428" s="8"/>
      <c r="D428" s="9"/>
      <c r="E428" s="10"/>
      <c r="F428" s="11"/>
      <c r="G428" s="8"/>
      <c r="H428" s="8"/>
      <c r="I428" s="8"/>
      <c r="J428" s="8"/>
    </row>
    <row r="429" spans="1:10" x14ac:dyDescent="0.3">
      <c r="A429" s="7"/>
      <c r="B429" s="8"/>
      <c r="C429" s="8"/>
      <c r="D429" s="9"/>
      <c r="E429" s="10"/>
      <c r="F429" s="11"/>
      <c r="G429" s="8"/>
      <c r="H429" s="8"/>
      <c r="I429" s="8"/>
      <c r="J429" s="8"/>
    </row>
    <row r="430" spans="1:10" x14ac:dyDescent="0.3">
      <c r="A430" s="7"/>
      <c r="B430" s="8"/>
      <c r="C430" s="8"/>
      <c r="D430" s="9"/>
      <c r="E430" s="10"/>
      <c r="F430" s="11"/>
      <c r="G430" s="8"/>
      <c r="H430" s="8"/>
      <c r="I430" s="8"/>
      <c r="J430" s="8"/>
    </row>
    <row r="431" spans="1:10" x14ac:dyDescent="0.3">
      <c r="A431" s="7"/>
      <c r="B431" s="8"/>
      <c r="C431" s="8"/>
      <c r="D431" s="9"/>
      <c r="E431" s="10"/>
      <c r="F431" s="11"/>
      <c r="G431" s="8"/>
      <c r="H431" s="8"/>
      <c r="I431" s="8"/>
      <c r="J431" s="8"/>
    </row>
    <row r="432" spans="1:10" x14ac:dyDescent="0.3">
      <c r="A432" s="7"/>
      <c r="B432" s="8"/>
      <c r="C432" s="8"/>
      <c r="D432" s="9"/>
      <c r="E432" s="10"/>
      <c r="F432" s="11"/>
      <c r="G432" s="8"/>
      <c r="H432" s="8"/>
      <c r="I432" s="8"/>
      <c r="J432" s="8"/>
    </row>
    <row r="433" spans="1:10" x14ac:dyDescent="0.3">
      <c r="A433" s="7"/>
      <c r="B433" s="8"/>
      <c r="C433" s="8"/>
      <c r="D433" s="9"/>
      <c r="E433" s="10"/>
      <c r="F433" s="11"/>
      <c r="G433" s="8"/>
      <c r="H433" s="8"/>
      <c r="I433" s="8"/>
      <c r="J433" s="8"/>
    </row>
    <row r="434" spans="1:10" x14ac:dyDescent="0.3">
      <c r="A434" s="7"/>
      <c r="B434" s="8"/>
      <c r="C434" s="8"/>
      <c r="D434" s="9"/>
      <c r="E434" s="10"/>
      <c r="F434" s="11"/>
      <c r="G434" s="8"/>
      <c r="H434" s="8"/>
      <c r="I434" s="8"/>
      <c r="J434" s="8"/>
    </row>
    <row r="435" spans="1:10" x14ac:dyDescent="0.3">
      <c r="A435" s="7"/>
      <c r="B435" s="8"/>
      <c r="C435" s="8"/>
      <c r="D435" s="9"/>
      <c r="E435" s="10"/>
      <c r="F435" s="11"/>
      <c r="G435" s="8"/>
      <c r="H435" s="8"/>
      <c r="I435" s="8"/>
      <c r="J435" s="8"/>
    </row>
    <row r="436" spans="1:10" x14ac:dyDescent="0.3">
      <c r="A436" s="7"/>
      <c r="B436" s="8"/>
      <c r="C436" s="8"/>
      <c r="D436" s="9"/>
      <c r="E436" s="10"/>
      <c r="F436" s="11"/>
      <c r="G436" s="8"/>
      <c r="H436" s="8"/>
      <c r="I436" s="8"/>
      <c r="J436" s="8"/>
    </row>
    <row r="437" spans="1:10" x14ac:dyDescent="0.3">
      <c r="A437" s="7"/>
      <c r="B437" s="8"/>
      <c r="C437" s="8"/>
      <c r="D437" s="9"/>
      <c r="E437" s="10"/>
      <c r="F437" s="11"/>
      <c r="G437" s="8"/>
      <c r="H437" s="8"/>
      <c r="I437" s="8"/>
      <c r="J437" s="8"/>
    </row>
    <row r="438" spans="1:10" x14ac:dyDescent="0.3">
      <c r="A438" s="7"/>
      <c r="B438" s="8"/>
      <c r="C438" s="8"/>
      <c r="D438" s="9"/>
      <c r="E438" s="10"/>
      <c r="F438" s="11"/>
      <c r="G438" s="8"/>
      <c r="H438" s="8"/>
      <c r="I438" s="8"/>
      <c r="J438" s="8"/>
    </row>
    <row r="439" spans="1:10" x14ac:dyDescent="0.3">
      <c r="A439" s="7"/>
      <c r="B439" s="8"/>
      <c r="C439" s="8"/>
      <c r="D439" s="9"/>
      <c r="E439" s="10"/>
      <c r="F439" s="11"/>
      <c r="G439" s="8"/>
      <c r="H439" s="8"/>
      <c r="I439" s="8"/>
      <c r="J439" s="8"/>
    </row>
    <row r="440" spans="1:10" x14ac:dyDescent="0.3">
      <c r="A440" s="7"/>
      <c r="B440" s="8"/>
      <c r="C440" s="8"/>
      <c r="D440" s="9"/>
      <c r="E440" s="10"/>
      <c r="F440" s="11"/>
      <c r="G440" s="8"/>
      <c r="H440" s="8"/>
      <c r="I440" s="8"/>
      <c r="J440" s="8"/>
    </row>
    <row r="441" spans="1:10" x14ac:dyDescent="0.3">
      <c r="A441" s="7"/>
      <c r="B441" s="8"/>
      <c r="C441" s="8"/>
      <c r="D441" s="9"/>
      <c r="E441" s="10"/>
      <c r="F441" s="11"/>
      <c r="G441" s="8"/>
      <c r="H441" s="8"/>
      <c r="I441" s="8"/>
      <c r="J441" s="8"/>
    </row>
    <row r="442" spans="1:10" x14ac:dyDescent="0.3">
      <c r="A442" s="7"/>
      <c r="B442" s="8"/>
      <c r="C442" s="8"/>
      <c r="D442" s="9"/>
      <c r="E442" s="10"/>
      <c r="F442" s="11"/>
      <c r="G442" s="8"/>
      <c r="H442" s="8"/>
      <c r="I442" s="8"/>
      <c r="J442" s="8"/>
    </row>
    <row r="443" spans="1:10" x14ac:dyDescent="0.3">
      <c r="A443" s="7"/>
      <c r="B443" s="8"/>
      <c r="C443" s="8"/>
      <c r="D443" s="9"/>
      <c r="E443" s="10"/>
      <c r="F443" s="11"/>
      <c r="G443" s="8"/>
      <c r="H443" s="8"/>
      <c r="I443" s="8"/>
      <c r="J443" s="8"/>
    </row>
    <row r="444" spans="1:10" x14ac:dyDescent="0.3">
      <c r="A444" s="7"/>
      <c r="B444" s="8"/>
      <c r="C444" s="8"/>
      <c r="D444" s="9"/>
      <c r="E444" s="10"/>
      <c r="F444" s="11"/>
      <c r="G444" s="8"/>
      <c r="H444" s="8"/>
      <c r="I444" s="8"/>
      <c r="J444" s="8"/>
    </row>
    <row r="445" spans="1:10" x14ac:dyDescent="0.3">
      <c r="A445" s="7"/>
      <c r="B445" s="8"/>
      <c r="C445" s="8"/>
      <c r="D445" s="9"/>
      <c r="E445" s="10"/>
      <c r="F445" s="11"/>
      <c r="G445" s="8"/>
      <c r="H445" s="8"/>
      <c r="I445" s="8"/>
      <c r="J445" s="8"/>
    </row>
    <row r="446" spans="1:10" x14ac:dyDescent="0.3">
      <c r="A446" s="7"/>
      <c r="B446" s="8"/>
      <c r="C446" s="8"/>
      <c r="D446" s="9"/>
      <c r="E446" s="10"/>
      <c r="F446" s="11"/>
      <c r="G446" s="8"/>
      <c r="H446" s="8"/>
      <c r="I446" s="8"/>
      <c r="J446" s="8"/>
    </row>
    <row r="447" spans="1:10" x14ac:dyDescent="0.3">
      <c r="A447" s="7"/>
      <c r="B447" s="8"/>
      <c r="C447" s="8"/>
      <c r="D447" s="9"/>
      <c r="E447" s="10"/>
      <c r="F447" s="11"/>
      <c r="G447" s="8"/>
      <c r="H447" s="8"/>
      <c r="I447" s="8"/>
      <c r="J447" s="8"/>
    </row>
    <row r="448" spans="1:10" x14ac:dyDescent="0.3">
      <c r="A448" s="7"/>
      <c r="B448" s="8"/>
      <c r="C448" s="8"/>
      <c r="D448" s="9"/>
      <c r="E448" s="10"/>
      <c r="F448" s="11"/>
      <c r="G448" s="8"/>
      <c r="H448" s="8"/>
      <c r="I448" s="8"/>
      <c r="J448" s="8"/>
    </row>
    <row r="449" spans="1:10" x14ac:dyDescent="0.3">
      <c r="A449" s="7"/>
      <c r="B449" s="8"/>
      <c r="C449" s="8"/>
      <c r="D449" s="9"/>
      <c r="E449" s="10"/>
      <c r="F449" s="11"/>
      <c r="G449" s="8"/>
      <c r="H449" s="8"/>
      <c r="I449" s="8"/>
      <c r="J449" s="8"/>
    </row>
    <row r="450" spans="1:10" x14ac:dyDescent="0.3">
      <c r="A450" s="7"/>
      <c r="B450" s="8"/>
      <c r="C450" s="8"/>
      <c r="D450" s="9"/>
      <c r="E450" s="10"/>
      <c r="F450" s="11"/>
      <c r="G450" s="8"/>
      <c r="H450" s="8"/>
      <c r="I450" s="8"/>
      <c r="J450" s="8"/>
    </row>
    <row r="451" spans="1:10" x14ac:dyDescent="0.3">
      <c r="A451" s="7"/>
      <c r="B451" s="8"/>
      <c r="C451" s="8"/>
      <c r="D451" s="9"/>
      <c r="E451" s="10"/>
      <c r="F451" s="11"/>
      <c r="G451" s="8"/>
      <c r="H451" s="8"/>
      <c r="I451" s="8"/>
      <c r="J451" s="8"/>
    </row>
    <row r="452" spans="1:10" x14ac:dyDescent="0.3">
      <c r="A452" s="7"/>
      <c r="B452" s="8"/>
      <c r="C452" s="8"/>
      <c r="D452" s="9"/>
      <c r="E452" s="10"/>
      <c r="F452" s="11"/>
      <c r="G452" s="8"/>
      <c r="H452" s="8"/>
      <c r="I452" s="8"/>
      <c r="J452" s="8"/>
    </row>
    <row r="453" spans="1:10" x14ac:dyDescent="0.3">
      <c r="A453" s="7"/>
      <c r="B453" s="8"/>
      <c r="C453" s="8"/>
      <c r="D453" s="9"/>
      <c r="E453" s="10"/>
      <c r="F453" s="11"/>
      <c r="G453" s="8"/>
      <c r="H453" s="8"/>
      <c r="I453" s="8"/>
      <c r="J453" s="8"/>
    </row>
    <row r="454" spans="1:10" x14ac:dyDescent="0.3">
      <c r="A454" s="7"/>
      <c r="B454" s="8"/>
      <c r="C454" s="8"/>
      <c r="D454" s="9"/>
      <c r="E454" s="10"/>
      <c r="F454" s="11"/>
      <c r="G454" s="8"/>
      <c r="H454" s="8"/>
      <c r="I454" s="8"/>
      <c r="J454" s="8"/>
    </row>
    <row r="455" spans="1:10" x14ac:dyDescent="0.3">
      <c r="A455" s="7"/>
      <c r="B455" s="8"/>
      <c r="C455" s="8"/>
      <c r="D455" s="9"/>
      <c r="E455" s="10"/>
      <c r="F455" s="11"/>
      <c r="G455" s="8"/>
      <c r="H455" s="8"/>
      <c r="I455" s="8"/>
      <c r="J455" s="8"/>
    </row>
    <row r="456" spans="1:10" x14ac:dyDescent="0.3">
      <c r="A456" s="7"/>
      <c r="B456" s="8"/>
      <c r="C456" s="8"/>
      <c r="D456" s="9"/>
      <c r="E456" s="10"/>
      <c r="F456" s="11"/>
      <c r="G456" s="8"/>
      <c r="H456" s="8"/>
      <c r="I456" s="8"/>
      <c r="J456" s="8"/>
    </row>
    <row r="457" spans="1:10" x14ac:dyDescent="0.3">
      <c r="A457" s="7"/>
      <c r="B457" s="8"/>
      <c r="C457" s="8"/>
      <c r="D457" s="9"/>
      <c r="E457" s="10"/>
      <c r="F457" s="11"/>
      <c r="G457" s="8"/>
      <c r="H457" s="8"/>
      <c r="I457" s="8"/>
      <c r="J457" s="8"/>
    </row>
    <row r="458" spans="1:10" x14ac:dyDescent="0.3">
      <c r="A458" s="7"/>
      <c r="B458" s="8"/>
      <c r="C458" s="8"/>
      <c r="D458" s="9"/>
      <c r="E458" s="10"/>
      <c r="F458" s="11"/>
      <c r="G458" s="8"/>
      <c r="H458" s="8"/>
      <c r="I458" s="8"/>
      <c r="J458" s="8"/>
    </row>
    <row r="459" spans="1:10" x14ac:dyDescent="0.3">
      <c r="A459" s="7"/>
      <c r="B459" s="8"/>
      <c r="C459" s="8"/>
      <c r="D459" s="9"/>
      <c r="E459" s="10"/>
      <c r="F459" s="11"/>
      <c r="G459" s="8"/>
      <c r="H459" s="8"/>
      <c r="I459" s="8"/>
      <c r="J459" s="8"/>
    </row>
    <row r="460" spans="1:10" x14ac:dyDescent="0.3">
      <c r="A460" s="7"/>
      <c r="B460" s="8"/>
      <c r="C460" s="8"/>
      <c r="D460" s="9"/>
      <c r="E460" s="10"/>
      <c r="F460" s="11"/>
      <c r="G460" s="8"/>
      <c r="H460" s="8"/>
      <c r="I460" s="8"/>
      <c r="J460" s="8"/>
    </row>
    <row r="461" spans="1:10" x14ac:dyDescent="0.3">
      <c r="A461" s="7"/>
      <c r="B461" s="8"/>
      <c r="C461" s="8"/>
      <c r="D461" s="9"/>
      <c r="E461" s="10"/>
      <c r="F461" s="11"/>
      <c r="G461" s="8"/>
      <c r="H461" s="8"/>
      <c r="I461" s="8"/>
      <c r="J461" s="8"/>
    </row>
    <row r="462" spans="1:10" x14ac:dyDescent="0.3">
      <c r="A462" s="7"/>
      <c r="B462" s="8"/>
      <c r="C462" s="8"/>
      <c r="D462" s="9"/>
      <c r="E462" s="10"/>
      <c r="F462" s="11"/>
      <c r="G462" s="8"/>
      <c r="H462" s="8"/>
      <c r="I462" s="8"/>
      <c r="J462" s="8"/>
    </row>
    <row r="463" spans="1:10" x14ac:dyDescent="0.3">
      <c r="A463" s="7"/>
      <c r="B463" s="8"/>
      <c r="C463" s="8"/>
      <c r="D463" s="9"/>
      <c r="E463" s="10"/>
      <c r="F463" s="11"/>
      <c r="G463" s="8"/>
      <c r="H463" s="8"/>
      <c r="I463" s="8"/>
      <c r="J463" s="8"/>
    </row>
    <row r="464" spans="1:10" x14ac:dyDescent="0.3">
      <c r="A464" s="7"/>
      <c r="B464" s="8"/>
      <c r="C464" s="8"/>
      <c r="D464" s="9"/>
      <c r="E464" s="10"/>
      <c r="F464" s="11"/>
      <c r="G464" s="8"/>
      <c r="H464" s="8"/>
      <c r="I464" s="8"/>
      <c r="J464" s="8"/>
    </row>
    <row r="465" spans="1:10" x14ac:dyDescent="0.3">
      <c r="A465" s="7"/>
      <c r="B465" s="8"/>
      <c r="C465" s="8"/>
      <c r="D465" s="9"/>
      <c r="E465" s="10"/>
      <c r="F465" s="11"/>
      <c r="G465" s="8"/>
      <c r="H465" s="8"/>
      <c r="I465" s="8"/>
      <c r="J465" s="8"/>
    </row>
    <row r="466" spans="1:10" x14ac:dyDescent="0.3">
      <c r="A466" s="7"/>
      <c r="B466" s="8"/>
      <c r="C466" s="8"/>
      <c r="D466" s="9"/>
      <c r="E466" s="10"/>
      <c r="F466" s="11"/>
      <c r="G466" s="8"/>
      <c r="H466" s="8"/>
      <c r="I466" s="8"/>
      <c r="J466" s="8"/>
    </row>
    <row r="467" spans="1:10" x14ac:dyDescent="0.3">
      <c r="A467" s="7"/>
      <c r="B467" s="8"/>
      <c r="C467" s="8"/>
      <c r="D467" s="9"/>
      <c r="E467" s="10"/>
      <c r="F467" s="11"/>
      <c r="G467" s="8"/>
      <c r="H467" s="8"/>
      <c r="I467" s="8"/>
      <c r="J467" s="8"/>
    </row>
    <row r="468" spans="1:10" x14ac:dyDescent="0.3">
      <c r="A468" s="7"/>
      <c r="B468" s="8"/>
      <c r="C468" s="8"/>
      <c r="D468" s="9"/>
      <c r="E468" s="10"/>
      <c r="F468" s="11"/>
      <c r="G468" s="8"/>
      <c r="H468" s="8"/>
      <c r="I468" s="8"/>
      <c r="J468" s="8"/>
    </row>
    <row r="469" spans="1:10" x14ac:dyDescent="0.3">
      <c r="A469" s="7"/>
      <c r="B469" s="8"/>
      <c r="C469" s="8"/>
      <c r="D469" s="9"/>
      <c r="E469" s="10"/>
      <c r="F469" s="11"/>
      <c r="G469" s="8"/>
      <c r="H469" s="8"/>
      <c r="I469" s="8"/>
      <c r="J469" s="8"/>
    </row>
    <row r="470" spans="1:10" x14ac:dyDescent="0.3">
      <c r="A470" s="7"/>
      <c r="B470" s="8"/>
      <c r="C470" s="8"/>
      <c r="D470" s="9"/>
      <c r="E470" s="10"/>
      <c r="F470" s="11"/>
      <c r="G470" s="8"/>
      <c r="H470" s="8"/>
      <c r="I470" s="8"/>
      <c r="J470" s="8"/>
    </row>
    <row r="471" spans="1:10" x14ac:dyDescent="0.3">
      <c r="A471" s="7"/>
      <c r="B471" s="8"/>
      <c r="C471" s="8"/>
      <c r="D471" s="9"/>
      <c r="E471" s="10"/>
      <c r="F471" s="11"/>
      <c r="G471" s="8"/>
      <c r="H471" s="8"/>
      <c r="I471" s="8"/>
      <c r="J471" s="8"/>
    </row>
    <row r="472" spans="1:10" x14ac:dyDescent="0.3">
      <c r="A472" s="7"/>
      <c r="B472" s="8"/>
      <c r="C472" s="8"/>
      <c r="D472" s="9"/>
      <c r="E472" s="10"/>
      <c r="F472" s="11"/>
      <c r="G472" s="8"/>
      <c r="H472" s="8"/>
      <c r="I472" s="8"/>
      <c r="J472" s="8"/>
    </row>
    <row r="473" spans="1:10" x14ac:dyDescent="0.3">
      <c r="A473" s="7"/>
      <c r="B473" s="8"/>
      <c r="C473" s="8"/>
      <c r="D473" s="9"/>
      <c r="E473" s="10"/>
      <c r="F473" s="11"/>
      <c r="G473" s="8"/>
      <c r="H473" s="8"/>
      <c r="I473" s="8"/>
      <c r="J473" s="8"/>
    </row>
    <row r="474" spans="1:10" x14ac:dyDescent="0.3">
      <c r="A474" s="7"/>
      <c r="B474" s="8"/>
      <c r="C474" s="8"/>
      <c r="D474" s="9"/>
      <c r="E474" s="10"/>
      <c r="F474" s="11"/>
      <c r="G474" s="8"/>
      <c r="H474" s="8"/>
      <c r="I474" s="8"/>
      <c r="J474" s="8"/>
    </row>
    <row r="475" spans="1:10" x14ac:dyDescent="0.3">
      <c r="A475" s="7"/>
      <c r="B475" s="8"/>
      <c r="C475" s="8"/>
      <c r="D475" s="9"/>
      <c r="E475" s="10"/>
      <c r="F475" s="11"/>
      <c r="G475" s="8"/>
      <c r="H475" s="8"/>
      <c r="I475" s="8"/>
      <c r="J475" s="8"/>
    </row>
    <row r="476" spans="1:10" x14ac:dyDescent="0.3">
      <c r="A476" s="7"/>
      <c r="B476" s="8"/>
      <c r="C476" s="8"/>
      <c r="D476" s="9"/>
      <c r="E476" s="10"/>
      <c r="F476" s="11"/>
      <c r="G476" s="8"/>
      <c r="H476" s="8"/>
      <c r="I476" s="8"/>
      <c r="J476" s="8"/>
    </row>
    <row r="477" spans="1:10" x14ac:dyDescent="0.3">
      <c r="A477" s="7"/>
      <c r="B477" s="8"/>
      <c r="C477" s="8"/>
      <c r="D477" s="9"/>
      <c r="E477" s="10"/>
      <c r="F477" s="11"/>
      <c r="G477" s="8"/>
      <c r="H477" s="8"/>
      <c r="I477" s="8"/>
      <c r="J477" s="8"/>
    </row>
    <row r="478" spans="1:10" x14ac:dyDescent="0.3">
      <c r="A478" s="7"/>
      <c r="B478" s="8"/>
      <c r="C478" s="8"/>
      <c r="D478" s="9"/>
      <c r="E478" s="10"/>
      <c r="F478" s="11"/>
      <c r="G478" s="8"/>
      <c r="H478" s="8"/>
      <c r="I478" s="8"/>
      <c r="J478" s="8"/>
    </row>
    <row r="479" spans="1:10" x14ac:dyDescent="0.3">
      <c r="A479" s="7"/>
      <c r="B479" s="8"/>
      <c r="C479" s="8"/>
      <c r="D479" s="9"/>
      <c r="E479" s="10"/>
      <c r="F479" s="11"/>
      <c r="G479" s="8"/>
      <c r="H479" s="8"/>
      <c r="I479" s="8"/>
      <c r="J479" s="8"/>
    </row>
    <row r="480" spans="1:10" x14ac:dyDescent="0.3">
      <c r="A480" s="7"/>
      <c r="B480" s="8"/>
      <c r="C480" s="8"/>
      <c r="D480" s="9"/>
      <c r="E480" s="10"/>
      <c r="F480" s="11"/>
      <c r="G480" s="8"/>
      <c r="H480" s="8"/>
      <c r="I480" s="8"/>
      <c r="J480" s="8"/>
    </row>
    <row r="481" spans="1:10" x14ac:dyDescent="0.3">
      <c r="A481" s="7"/>
      <c r="B481" s="8"/>
      <c r="C481" s="8"/>
      <c r="D481" s="9"/>
      <c r="E481" s="10"/>
      <c r="F481" s="11"/>
      <c r="G481" s="8"/>
      <c r="H481" s="8"/>
      <c r="I481" s="8"/>
      <c r="J481" s="8"/>
    </row>
    <row r="482" spans="1:10" x14ac:dyDescent="0.3">
      <c r="A482" s="7"/>
      <c r="B482" s="8"/>
      <c r="C482" s="8"/>
      <c r="D482" s="9"/>
      <c r="E482" s="10"/>
      <c r="F482" s="11"/>
      <c r="G482" s="8"/>
      <c r="H482" s="8"/>
      <c r="I482" s="8"/>
      <c r="J482" s="8"/>
    </row>
    <row r="483" spans="1:10" x14ac:dyDescent="0.3">
      <c r="A483" s="7"/>
      <c r="B483" s="8"/>
      <c r="C483" s="8"/>
      <c r="D483" s="9"/>
      <c r="E483" s="10"/>
      <c r="F483" s="11"/>
      <c r="G483" s="8"/>
      <c r="H483" s="8"/>
      <c r="I483" s="8"/>
      <c r="J483" s="8"/>
    </row>
    <row r="484" spans="1:10" x14ac:dyDescent="0.3">
      <c r="A484" s="7"/>
      <c r="B484" s="8"/>
      <c r="C484" s="8"/>
      <c r="D484" s="9"/>
      <c r="E484" s="10"/>
      <c r="F484" s="11"/>
      <c r="G484" s="8"/>
      <c r="H484" s="8"/>
      <c r="I484" s="8"/>
      <c r="J484" s="8"/>
    </row>
    <row r="485" spans="1:10" x14ac:dyDescent="0.3">
      <c r="A485" s="7"/>
      <c r="B485" s="8"/>
      <c r="C485" s="8"/>
      <c r="D485" s="9"/>
      <c r="E485" s="10"/>
      <c r="F485" s="11"/>
      <c r="G485" s="8"/>
      <c r="H485" s="8"/>
      <c r="I485" s="8"/>
      <c r="J485" s="8"/>
    </row>
    <row r="486" spans="1:10" x14ac:dyDescent="0.3">
      <c r="A486" s="7"/>
      <c r="B486" s="8"/>
      <c r="C486" s="8"/>
      <c r="D486" s="9"/>
      <c r="E486" s="10"/>
      <c r="F486" s="11"/>
      <c r="G486" s="8"/>
      <c r="H486" s="8"/>
      <c r="I486" s="8"/>
      <c r="J486" s="8"/>
    </row>
    <row r="487" spans="1:10" x14ac:dyDescent="0.3">
      <c r="A487" s="7"/>
      <c r="B487" s="8"/>
      <c r="C487" s="8"/>
      <c r="D487" s="9"/>
      <c r="E487" s="10"/>
      <c r="F487" s="11"/>
      <c r="G487" s="8"/>
      <c r="H487" s="8"/>
      <c r="I487" s="8"/>
      <c r="J487" s="8"/>
    </row>
    <row r="488" spans="1:10" x14ac:dyDescent="0.3">
      <c r="A488" s="7"/>
      <c r="B488" s="8"/>
      <c r="C488" s="8"/>
      <c r="D488" s="9"/>
      <c r="E488" s="10"/>
      <c r="F488" s="11"/>
      <c r="G488" s="8"/>
      <c r="H488" s="8"/>
      <c r="I488" s="8"/>
      <c r="J488" s="8"/>
    </row>
    <row r="489" spans="1:10" x14ac:dyDescent="0.3">
      <c r="A489" s="7"/>
      <c r="B489" s="8"/>
      <c r="C489" s="8"/>
      <c r="D489" s="9"/>
      <c r="E489" s="10"/>
      <c r="F489" s="11"/>
      <c r="G489" s="8"/>
      <c r="H489" s="8"/>
      <c r="I489" s="8"/>
      <c r="J489" s="8"/>
    </row>
    <row r="490" spans="1:10" x14ac:dyDescent="0.3">
      <c r="A490" s="7"/>
      <c r="B490" s="8"/>
      <c r="C490" s="8"/>
      <c r="D490" s="9"/>
      <c r="E490" s="10"/>
      <c r="F490" s="11"/>
      <c r="G490" s="8"/>
      <c r="H490" s="8"/>
      <c r="I490" s="8"/>
      <c r="J490" s="8"/>
    </row>
    <row r="491" spans="1:10" x14ac:dyDescent="0.3">
      <c r="A491" s="7"/>
      <c r="B491" s="8"/>
      <c r="C491" s="8"/>
      <c r="D491" s="9"/>
      <c r="E491" s="10"/>
      <c r="F491" s="11"/>
      <c r="G491" s="8"/>
      <c r="H491" s="8"/>
      <c r="I491" s="8"/>
      <c r="J491" s="8"/>
    </row>
    <row r="492" spans="1:10" x14ac:dyDescent="0.3">
      <c r="A492" s="7"/>
      <c r="B492" s="8"/>
      <c r="C492" s="8"/>
      <c r="D492" s="9"/>
      <c r="E492" s="10"/>
      <c r="F492" s="11"/>
      <c r="G492" s="8"/>
      <c r="H492" s="8"/>
      <c r="I492" s="8"/>
      <c r="J492" s="8"/>
    </row>
    <row r="493" spans="1:10" x14ac:dyDescent="0.3">
      <c r="A493" s="7"/>
      <c r="B493" s="8"/>
      <c r="C493" s="8"/>
      <c r="D493" s="9"/>
      <c r="E493" s="10"/>
      <c r="F493" s="11"/>
      <c r="G493" s="8"/>
      <c r="H493" s="8"/>
      <c r="I493" s="8"/>
      <c r="J493" s="8"/>
    </row>
    <row r="494" spans="1:10" x14ac:dyDescent="0.3">
      <c r="A494" s="7"/>
      <c r="B494" s="8"/>
      <c r="C494" s="8"/>
      <c r="D494" s="9"/>
      <c r="E494" s="10"/>
      <c r="F494" s="11"/>
      <c r="G494" s="8"/>
      <c r="H494" s="8"/>
      <c r="I494" s="8"/>
      <c r="J494" s="8"/>
    </row>
    <row r="495" spans="1:10" x14ac:dyDescent="0.3">
      <c r="A495" s="7"/>
      <c r="B495" s="8"/>
      <c r="C495" s="8"/>
      <c r="D495" s="9"/>
      <c r="E495" s="10"/>
      <c r="F495" s="11"/>
      <c r="G495" s="8"/>
      <c r="H495" s="8"/>
      <c r="I495" s="8"/>
      <c r="J495" s="8"/>
    </row>
    <row r="496" spans="1:10" x14ac:dyDescent="0.3">
      <c r="A496" s="7"/>
      <c r="B496" s="8"/>
      <c r="C496" s="8"/>
      <c r="D496" s="9"/>
      <c r="E496" s="10"/>
      <c r="F496" s="11"/>
      <c r="G496" s="8"/>
      <c r="H496" s="8"/>
      <c r="I496" s="8"/>
      <c r="J496" s="8"/>
    </row>
    <row r="497" spans="1:10" x14ac:dyDescent="0.3">
      <c r="A497" s="7"/>
      <c r="B497" s="8"/>
      <c r="C497" s="8"/>
      <c r="D497" s="9"/>
      <c r="E497" s="10"/>
      <c r="F497" s="11"/>
      <c r="G497" s="8"/>
      <c r="H497" s="8"/>
      <c r="I497" s="8"/>
      <c r="J497" s="8"/>
    </row>
    <row r="498" spans="1:10" x14ac:dyDescent="0.3">
      <c r="A498" s="7"/>
      <c r="B498" s="8"/>
      <c r="C498" s="8"/>
      <c r="D498" s="9"/>
      <c r="E498" s="10"/>
      <c r="F498" s="11"/>
      <c r="G498" s="8"/>
      <c r="H498" s="8"/>
      <c r="I498" s="8"/>
      <c r="J498" s="8"/>
    </row>
    <row r="499" spans="1:10" x14ac:dyDescent="0.3">
      <c r="A499" s="7"/>
      <c r="B499" s="8"/>
      <c r="C499" s="8"/>
      <c r="D499" s="9"/>
      <c r="E499" s="10"/>
      <c r="F499" s="11"/>
      <c r="G499" s="8"/>
      <c r="H499" s="8"/>
      <c r="I499" s="8"/>
      <c r="J499" s="8"/>
    </row>
    <row r="500" spans="1:10" x14ac:dyDescent="0.3">
      <c r="A500" s="7"/>
      <c r="B500" s="8"/>
      <c r="C500" s="8"/>
      <c r="D500" s="9"/>
      <c r="E500" s="10"/>
      <c r="F500" s="11"/>
      <c r="G500" s="8"/>
      <c r="H500" s="8"/>
      <c r="I500" s="8"/>
      <c r="J500" s="8"/>
    </row>
    <row r="501" spans="1:10" x14ac:dyDescent="0.3">
      <c r="A501" s="7"/>
      <c r="B501" s="8"/>
      <c r="C501" s="8"/>
      <c r="D501" s="9"/>
      <c r="E501" s="10"/>
      <c r="F501" s="11"/>
      <c r="G501" s="8"/>
      <c r="H501" s="8"/>
      <c r="I501" s="8"/>
      <c r="J501" s="8"/>
    </row>
    <row r="502" spans="1:10" x14ac:dyDescent="0.3">
      <c r="A502" s="7"/>
      <c r="B502" s="8"/>
      <c r="C502" s="8"/>
      <c r="D502" s="9"/>
      <c r="E502" s="10"/>
      <c r="F502" s="11"/>
      <c r="G502" s="8"/>
      <c r="H502" s="8"/>
      <c r="I502" s="8"/>
      <c r="J502" s="8"/>
    </row>
    <row r="503" spans="1:10" x14ac:dyDescent="0.3">
      <c r="A503" s="7"/>
      <c r="B503" s="8"/>
      <c r="C503" s="8"/>
      <c r="D503" s="9"/>
      <c r="E503" s="10"/>
      <c r="F503" s="11"/>
      <c r="G503" s="8"/>
      <c r="H503" s="8"/>
      <c r="I503" s="8"/>
      <c r="J503" s="8"/>
    </row>
    <row r="504" spans="1:10" x14ac:dyDescent="0.3">
      <c r="A504" s="7"/>
      <c r="B504" s="8"/>
      <c r="C504" s="8"/>
      <c r="D504" s="9"/>
      <c r="E504" s="10"/>
      <c r="F504" s="11"/>
      <c r="G504" s="8"/>
      <c r="H504" s="8"/>
      <c r="I504" s="8"/>
      <c r="J504" s="8"/>
    </row>
    <row r="505" spans="1:10" x14ac:dyDescent="0.3">
      <c r="A505" s="7"/>
      <c r="B505" s="8"/>
      <c r="C505" s="8"/>
      <c r="D505" s="9"/>
      <c r="E505" s="10"/>
      <c r="F505" s="11"/>
      <c r="G505" s="8"/>
      <c r="H505" s="8"/>
      <c r="I505" s="8"/>
      <c r="J505" s="8"/>
    </row>
    <row r="506" spans="1:10" x14ac:dyDescent="0.3">
      <c r="A506" s="7"/>
      <c r="B506" s="8"/>
      <c r="C506" s="8"/>
      <c r="D506" s="9"/>
      <c r="E506" s="10"/>
      <c r="F506" s="11"/>
      <c r="G506" s="8"/>
      <c r="H506" s="8"/>
      <c r="I506" s="8"/>
      <c r="J506" s="8"/>
    </row>
    <row r="507" spans="1:10" x14ac:dyDescent="0.3">
      <c r="A507" s="7"/>
      <c r="B507" s="8"/>
      <c r="C507" s="8"/>
      <c r="D507" s="9"/>
      <c r="E507" s="10"/>
      <c r="F507" s="11"/>
      <c r="G507" s="8"/>
      <c r="H507" s="8"/>
      <c r="I507" s="8"/>
      <c r="J507" s="8"/>
    </row>
    <row r="508" spans="1:10" x14ac:dyDescent="0.3">
      <c r="A508" s="7"/>
      <c r="B508" s="8"/>
      <c r="C508" s="8"/>
      <c r="D508" s="9"/>
      <c r="E508" s="10"/>
      <c r="F508" s="11"/>
      <c r="G508" s="8"/>
      <c r="H508" s="8"/>
      <c r="I508" s="8"/>
      <c r="J508" s="8"/>
    </row>
    <row r="509" spans="1:10" x14ac:dyDescent="0.3">
      <c r="A509" s="7"/>
      <c r="B509" s="8"/>
      <c r="C509" s="8"/>
      <c r="D509" s="9"/>
      <c r="E509" s="10"/>
      <c r="F509" s="11"/>
      <c r="G509" s="8"/>
      <c r="H509" s="8"/>
      <c r="I509" s="8"/>
      <c r="J509" s="8"/>
    </row>
    <row r="510" spans="1:10" x14ac:dyDescent="0.3">
      <c r="A510" s="7"/>
      <c r="B510" s="8"/>
      <c r="C510" s="8"/>
      <c r="D510" s="9"/>
      <c r="E510" s="10"/>
      <c r="F510" s="11"/>
      <c r="G510" s="8"/>
      <c r="H510" s="8"/>
      <c r="I510" s="8"/>
      <c r="J510" s="8"/>
    </row>
    <row r="511" spans="1:10" x14ac:dyDescent="0.3">
      <c r="A511" s="7"/>
      <c r="B511" s="8"/>
      <c r="C511" s="8"/>
      <c r="D511" s="9"/>
      <c r="E511" s="10"/>
      <c r="F511" s="11"/>
      <c r="G511" s="8"/>
      <c r="H511" s="8"/>
      <c r="I511" s="8"/>
      <c r="J511" s="8"/>
    </row>
    <row r="512" spans="1:10" x14ac:dyDescent="0.3">
      <c r="A512" s="7"/>
      <c r="B512" s="8"/>
      <c r="C512" s="8"/>
      <c r="D512" s="9"/>
      <c r="E512" s="10"/>
      <c r="F512" s="11"/>
      <c r="G512" s="8"/>
      <c r="H512" s="8"/>
      <c r="I512" s="8"/>
      <c r="J512" s="8"/>
    </row>
    <row r="513" spans="1:10" x14ac:dyDescent="0.3">
      <c r="A513" s="7"/>
      <c r="B513" s="8"/>
      <c r="C513" s="8"/>
      <c r="D513" s="9"/>
      <c r="E513" s="10"/>
      <c r="F513" s="11"/>
      <c r="G513" s="8"/>
      <c r="H513" s="8"/>
      <c r="I513" s="8"/>
      <c r="J513" s="8"/>
    </row>
    <row r="514" spans="1:10" x14ac:dyDescent="0.3">
      <c r="A514" s="7"/>
      <c r="B514" s="8"/>
      <c r="C514" s="8"/>
      <c r="D514" s="9"/>
      <c r="E514" s="10"/>
      <c r="F514" s="11"/>
      <c r="G514" s="8"/>
      <c r="H514" s="8"/>
      <c r="I514" s="8"/>
      <c r="J514" s="8"/>
    </row>
    <row r="515" spans="1:10" x14ac:dyDescent="0.3">
      <c r="A515" s="7"/>
      <c r="B515" s="8"/>
      <c r="C515" s="8"/>
      <c r="D515" s="9"/>
      <c r="E515" s="10"/>
      <c r="F515" s="11"/>
      <c r="G515" s="8"/>
      <c r="H515" s="8"/>
      <c r="I515" s="8"/>
      <c r="J515" s="8"/>
    </row>
    <row r="516" spans="1:10" x14ac:dyDescent="0.3">
      <c r="A516" s="7"/>
      <c r="B516" s="8"/>
      <c r="C516" s="8"/>
      <c r="D516" s="9"/>
      <c r="E516" s="10"/>
      <c r="F516" s="11"/>
      <c r="G516" s="8"/>
      <c r="H516" s="8"/>
      <c r="I516" s="8"/>
      <c r="J516" s="8"/>
    </row>
    <row r="517" spans="1:10" x14ac:dyDescent="0.3">
      <c r="A517" s="7"/>
      <c r="B517" s="8"/>
      <c r="C517" s="8"/>
      <c r="D517" s="9"/>
      <c r="E517" s="10"/>
      <c r="F517" s="11"/>
      <c r="G517" s="8"/>
      <c r="H517" s="8"/>
      <c r="I517" s="8"/>
      <c r="J517" s="8"/>
    </row>
    <row r="518" spans="1:10" x14ac:dyDescent="0.3">
      <c r="A518" s="7"/>
      <c r="B518" s="8"/>
      <c r="C518" s="8"/>
      <c r="D518" s="9"/>
      <c r="E518" s="10"/>
      <c r="F518" s="11"/>
      <c r="G518" s="8"/>
      <c r="H518" s="8"/>
      <c r="I518" s="8"/>
      <c r="J518" s="8"/>
    </row>
    <row r="519" spans="1:10" x14ac:dyDescent="0.3">
      <c r="A519" s="7"/>
      <c r="B519" s="8"/>
      <c r="C519" s="8"/>
      <c r="D519" s="9"/>
      <c r="E519" s="10"/>
      <c r="F519" s="11"/>
      <c r="G519" s="8"/>
      <c r="H519" s="8"/>
      <c r="I519" s="8"/>
      <c r="J519" s="8"/>
    </row>
    <row r="520" spans="1:10" x14ac:dyDescent="0.3">
      <c r="A520" s="7"/>
      <c r="B520" s="8"/>
      <c r="C520" s="8"/>
      <c r="D520" s="9"/>
      <c r="E520" s="10"/>
      <c r="F520" s="11"/>
      <c r="G520" s="8"/>
      <c r="H520" s="8"/>
      <c r="I520" s="8"/>
      <c r="J520" s="8"/>
    </row>
    <row r="521" spans="1:10" x14ac:dyDescent="0.3">
      <c r="A521" s="7"/>
      <c r="B521" s="8"/>
      <c r="C521" s="8"/>
      <c r="D521" s="9"/>
      <c r="E521" s="10"/>
      <c r="F521" s="11"/>
      <c r="G521" s="8"/>
      <c r="H521" s="8"/>
      <c r="I521" s="8"/>
      <c r="J521" s="8"/>
    </row>
    <row r="522" spans="1:10" x14ac:dyDescent="0.3">
      <c r="A522" s="7"/>
      <c r="B522" s="8"/>
      <c r="C522" s="8"/>
      <c r="D522" s="9"/>
      <c r="E522" s="10"/>
      <c r="F522" s="11"/>
      <c r="G522" s="8"/>
      <c r="H522" s="8"/>
      <c r="I522" s="8"/>
      <c r="J522" s="8"/>
    </row>
    <row r="523" spans="1:10" x14ac:dyDescent="0.3">
      <c r="A523" s="7"/>
      <c r="B523" s="8"/>
      <c r="C523" s="8"/>
      <c r="D523" s="9"/>
      <c r="E523" s="10"/>
      <c r="F523" s="11"/>
      <c r="G523" s="8"/>
      <c r="H523" s="8"/>
      <c r="I523" s="8"/>
      <c r="J523" s="8"/>
    </row>
    <row r="524" spans="1:10" x14ac:dyDescent="0.3">
      <c r="A524" s="7"/>
      <c r="B524" s="8"/>
      <c r="C524" s="8"/>
      <c r="D524" s="9"/>
      <c r="E524" s="10"/>
      <c r="F524" s="11"/>
      <c r="G524" s="8"/>
      <c r="H524" s="8"/>
      <c r="I524" s="8"/>
      <c r="J524" s="8"/>
    </row>
    <row r="525" spans="1:10" x14ac:dyDescent="0.3">
      <c r="A525" s="7"/>
      <c r="B525" s="8"/>
      <c r="C525" s="8"/>
      <c r="D525" s="9"/>
      <c r="E525" s="10"/>
      <c r="F525" s="11"/>
      <c r="G525" s="8"/>
      <c r="H525" s="8"/>
      <c r="I525" s="8"/>
      <c r="J525" s="8"/>
    </row>
    <row r="526" spans="1:10" x14ac:dyDescent="0.3">
      <c r="A526" s="7"/>
      <c r="B526" s="8"/>
      <c r="C526" s="8"/>
      <c r="D526" s="9"/>
      <c r="E526" s="10"/>
      <c r="F526" s="11"/>
      <c r="G526" s="8"/>
      <c r="H526" s="8"/>
      <c r="I526" s="8"/>
      <c r="J526" s="8"/>
    </row>
    <row r="527" spans="1:10" x14ac:dyDescent="0.3">
      <c r="A527" s="7"/>
      <c r="B527" s="8"/>
      <c r="C527" s="8"/>
      <c r="D527" s="9"/>
      <c r="E527" s="10"/>
      <c r="F527" s="11"/>
      <c r="G527" s="8"/>
      <c r="H527" s="8"/>
      <c r="I527" s="8"/>
      <c r="J527" s="8"/>
    </row>
    <row r="528" spans="1:10" x14ac:dyDescent="0.3">
      <c r="A528" s="7"/>
      <c r="B528" s="8"/>
      <c r="C528" s="8"/>
      <c r="D528" s="9"/>
      <c r="E528" s="10"/>
      <c r="F528" s="11"/>
      <c r="G528" s="8"/>
      <c r="H528" s="8"/>
      <c r="I528" s="8"/>
      <c r="J528" s="8"/>
    </row>
    <row r="529" spans="1:10" x14ac:dyDescent="0.3">
      <c r="A529" s="7"/>
      <c r="B529" s="8"/>
      <c r="C529" s="8"/>
      <c r="D529" s="9"/>
      <c r="E529" s="10"/>
      <c r="F529" s="11"/>
      <c r="G529" s="8"/>
      <c r="H529" s="8"/>
      <c r="I529" s="8"/>
      <c r="J529" s="8"/>
    </row>
    <row r="530" spans="1:10" x14ac:dyDescent="0.3">
      <c r="A530" s="7"/>
      <c r="B530" s="8"/>
      <c r="C530" s="8"/>
      <c r="D530" s="9"/>
      <c r="E530" s="10"/>
      <c r="F530" s="11"/>
      <c r="G530" s="8"/>
      <c r="H530" s="8"/>
      <c r="I530" s="8"/>
      <c r="J530" s="8"/>
    </row>
    <row r="531" spans="1:10" x14ac:dyDescent="0.3">
      <c r="A531" s="7"/>
      <c r="B531" s="8"/>
      <c r="C531" s="8"/>
      <c r="D531" s="9"/>
      <c r="E531" s="10"/>
      <c r="F531" s="11"/>
      <c r="G531" s="8"/>
      <c r="H531" s="8"/>
      <c r="I531" s="8"/>
      <c r="J531" s="8"/>
    </row>
    <row r="532" spans="1:10" x14ac:dyDescent="0.3">
      <c r="A532" s="7"/>
      <c r="B532" s="8"/>
      <c r="C532" s="8"/>
      <c r="D532" s="9"/>
      <c r="E532" s="10"/>
      <c r="F532" s="11"/>
      <c r="G532" s="8"/>
      <c r="H532" s="8"/>
      <c r="I532" s="8"/>
      <c r="J532" s="8"/>
    </row>
    <row r="533" spans="1:10" x14ac:dyDescent="0.3">
      <c r="A533" s="7"/>
      <c r="B533" s="8"/>
      <c r="C533" s="8"/>
      <c r="D533" s="9"/>
      <c r="E533" s="10"/>
      <c r="F533" s="11"/>
      <c r="G533" s="8"/>
      <c r="H533" s="8"/>
      <c r="I533" s="8"/>
      <c r="J533" s="8"/>
    </row>
    <row r="534" spans="1:10" x14ac:dyDescent="0.3">
      <c r="A534" s="7"/>
      <c r="B534" s="8"/>
      <c r="C534" s="8"/>
      <c r="D534" s="9"/>
      <c r="E534" s="10"/>
      <c r="F534" s="11"/>
      <c r="G534" s="8"/>
      <c r="H534" s="8"/>
      <c r="I534" s="8"/>
      <c r="J534" s="8"/>
    </row>
    <row r="535" spans="1:10" x14ac:dyDescent="0.3">
      <c r="A535" s="7"/>
      <c r="B535" s="8"/>
      <c r="C535" s="8"/>
      <c r="D535" s="9"/>
      <c r="E535" s="10"/>
      <c r="F535" s="11"/>
      <c r="G535" s="8"/>
      <c r="H535" s="8"/>
      <c r="I535" s="8"/>
      <c r="J535" s="8"/>
    </row>
    <row r="536" spans="1:10" x14ac:dyDescent="0.3">
      <c r="A536" s="7"/>
      <c r="B536" s="8"/>
      <c r="C536" s="8"/>
      <c r="D536" s="9"/>
      <c r="E536" s="10"/>
      <c r="F536" s="11"/>
      <c r="G536" s="8"/>
      <c r="H536" s="8"/>
      <c r="I536" s="8"/>
      <c r="J536" s="8"/>
    </row>
    <row r="537" spans="1:10" x14ac:dyDescent="0.3">
      <c r="A537" s="7"/>
      <c r="B537" s="8"/>
      <c r="C537" s="8"/>
      <c r="D537" s="9"/>
      <c r="E537" s="10"/>
      <c r="F537" s="11"/>
      <c r="G537" s="8"/>
      <c r="H537" s="8"/>
      <c r="I537" s="8"/>
      <c r="J537" s="8"/>
    </row>
    <row r="538" spans="1:10" x14ac:dyDescent="0.3">
      <c r="A538" s="7"/>
      <c r="B538" s="8"/>
      <c r="C538" s="8"/>
      <c r="D538" s="9"/>
      <c r="E538" s="10"/>
      <c r="F538" s="11"/>
      <c r="G538" s="8"/>
      <c r="H538" s="8"/>
      <c r="I538" s="8"/>
      <c r="J538" s="8"/>
    </row>
    <row r="539" spans="1:10" x14ac:dyDescent="0.3">
      <c r="A539" s="7"/>
      <c r="B539" s="8"/>
      <c r="C539" s="8"/>
      <c r="D539" s="9"/>
      <c r="E539" s="10"/>
      <c r="F539" s="11"/>
      <c r="G539" s="8"/>
      <c r="H539" s="8"/>
      <c r="I539" s="8"/>
      <c r="J539" s="8"/>
    </row>
    <row r="540" spans="1:10" x14ac:dyDescent="0.3">
      <c r="A540" s="7"/>
      <c r="B540" s="8"/>
      <c r="C540" s="8"/>
      <c r="D540" s="9"/>
      <c r="E540" s="10"/>
      <c r="F540" s="11"/>
      <c r="G540" s="8"/>
      <c r="H540" s="8"/>
      <c r="I540" s="8"/>
      <c r="J540" s="8"/>
    </row>
    <row r="541" spans="1:10" x14ac:dyDescent="0.3">
      <c r="A541" s="7"/>
      <c r="B541" s="8"/>
      <c r="C541" s="8"/>
      <c r="D541" s="9"/>
      <c r="E541" s="10"/>
      <c r="F541" s="11"/>
      <c r="G541" s="8"/>
      <c r="H541" s="8"/>
      <c r="I541" s="8"/>
      <c r="J541" s="8"/>
    </row>
    <row r="542" spans="1:10" x14ac:dyDescent="0.3">
      <c r="A542" s="7"/>
      <c r="B542" s="8"/>
      <c r="C542" s="8"/>
      <c r="D542" s="9"/>
      <c r="E542" s="10"/>
      <c r="F542" s="11"/>
      <c r="G542" s="8"/>
      <c r="H542" s="8"/>
      <c r="I542" s="8"/>
      <c r="J542" s="8"/>
    </row>
    <row r="543" spans="1:10" x14ac:dyDescent="0.3">
      <c r="A543" s="7"/>
      <c r="B543" s="8"/>
      <c r="C543" s="8"/>
      <c r="D543" s="9"/>
      <c r="E543" s="10"/>
      <c r="F543" s="11"/>
      <c r="G543" s="8"/>
      <c r="H543" s="8"/>
      <c r="I543" s="8"/>
      <c r="J543" s="8"/>
    </row>
    <row r="544" spans="1:10" x14ac:dyDescent="0.3">
      <c r="A544" s="7"/>
      <c r="B544" s="8"/>
      <c r="C544" s="8"/>
      <c r="D544" s="9"/>
      <c r="E544" s="10"/>
      <c r="F544" s="11"/>
      <c r="G544" s="8"/>
      <c r="H544" s="8"/>
      <c r="I544" s="8"/>
      <c r="J544" s="8"/>
    </row>
    <row r="545" spans="1:10" x14ac:dyDescent="0.3">
      <c r="A545" s="7"/>
      <c r="B545" s="8"/>
      <c r="C545" s="8"/>
      <c r="D545" s="9"/>
      <c r="E545" s="10"/>
      <c r="F545" s="11"/>
      <c r="G545" s="8"/>
      <c r="H545" s="8"/>
      <c r="I545" s="8"/>
      <c r="J545" s="8"/>
    </row>
    <row r="546" spans="1:10" x14ac:dyDescent="0.3">
      <c r="A546" s="7"/>
      <c r="B546" s="8"/>
      <c r="C546" s="8"/>
      <c r="D546" s="9"/>
      <c r="E546" s="10"/>
      <c r="F546" s="11"/>
      <c r="G546" s="8"/>
      <c r="H546" s="8"/>
      <c r="I546" s="8"/>
      <c r="J546" s="8"/>
    </row>
    <row r="547" spans="1:10" x14ac:dyDescent="0.3">
      <c r="A547" s="7"/>
      <c r="B547" s="8"/>
      <c r="C547" s="8"/>
      <c r="D547" s="9"/>
      <c r="E547" s="10"/>
      <c r="F547" s="11"/>
      <c r="G547" s="8"/>
      <c r="H547" s="8"/>
      <c r="I547" s="8"/>
      <c r="J547" s="8"/>
    </row>
    <row r="548" spans="1:10" x14ac:dyDescent="0.3">
      <c r="A548" s="7"/>
      <c r="B548" s="8"/>
      <c r="C548" s="8"/>
      <c r="D548" s="9"/>
      <c r="E548" s="10"/>
      <c r="F548" s="11"/>
      <c r="G548" s="8"/>
      <c r="H548" s="8"/>
      <c r="I548" s="8"/>
      <c r="J548" s="8"/>
    </row>
    <row r="549" spans="1:10" x14ac:dyDescent="0.3">
      <c r="A549" s="7"/>
      <c r="B549" s="8"/>
      <c r="C549" s="8"/>
      <c r="D549" s="9"/>
      <c r="E549" s="10"/>
      <c r="F549" s="11"/>
      <c r="G549" s="8"/>
      <c r="H549" s="8"/>
      <c r="I549" s="8"/>
      <c r="J549" s="8"/>
    </row>
    <row r="550" spans="1:10" x14ac:dyDescent="0.3">
      <c r="A550" s="7"/>
      <c r="B550" s="8"/>
      <c r="C550" s="8"/>
      <c r="D550" s="9"/>
      <c r="E550" s="10"/>
      <c r="F550" s="11"/>
      <c r="G550" s="8"/>
      <c r="H550" s="8"/>
      <c r="I550" s="8"/>
      <c r="J550" s="8"/>
    </row>
    <row r="551" spans="1:10" x14ac:dyDescent="0.3">
      <c r="A551" s="7"/>
      <c r="B551" s="8"/>
      <c r="C551" s="8"/>
      <c r="D551" s="9"/>
      <c r="E551" s="10"/>
      <c r="F551" s="11"/>
      <c r="G551" s="8"/>
      <c r="H551" s="8"/>
      <c r="I551" s="8"/>
      <c r="J551" s="8"/>
    </row>
    <row r="552" spans="1:10" x14ac:dyDescent="0.3">
      <c r="A552" s="7"/>
      <c r="B552" s="8"/>
      <c r="C552" s="8"/>
      <c r="D552" s="9"/>
      <c r="E552" s="10"/>
      <c r="F552" s="11"/>
      <c r="G552" s="8"/>
      <c r="H552" s="8"/>
      <c r="I552" s="8"/>
      <c r="J552" s="8"/>
    </row>
    <row r="553" spans="1:10" x14ac:dyDescent="0.3">
      <c r="A553" s="7"/>
      <c r="B553" s="8"/>
      <c r="C553" s="8"/>
      <c r="D553" s="9"/>
      <c r="E553" s="10"/>
      <c r="F553" s="11"/>
      <c r="G553" s="8"/>
      <c r="H553" s="8"/>
      <c r="I553" s="8"/>
      <c r="J553" s="8"/>
    </row>
    <row r="554" spans="1:10" x14ac:dyDescent="0.3">
      <c r="A554" s="7"/>
      <c r="B554" s="8"/>
      <c r="C554" s="8"/>
      <c r="D554" s="9"/>
      <c r="E554" s="10"/>
      <c r="F554" s="11"/>
      <c r="G554" s="8"/>
      <c r="H554" s="8"/>
      <c r="I554" s="8"/>
      <c r="J554" s="8"/>
    </row>
    <row r="555" spans="1:10" x14ac:dyDescent="0.3">
      <c r="A555" s="7"/>
      <c r="B555" s="8"/>
      <c r="C555" s="8"/>
      <c r="D555" s="9"/>
      <c r="E555" s="10"/>
      <c r="F555" s="11"/>
      <c r="G555" s="8"/>
      <c r="H555" s="8"/>
      <c r="I555" s="8"/>
      <c r="J555" s="8"/>
    </row>
    <row r="556" spans="1:10" x14ac:dyDescent="0.3">
      <c r="A556" s="7"/>
      <c r="B556" s="8"/>
      <c r="C556" s="8"/>
      <c r="D556" s="9"/>
      <c r="E556" s="10"/>
      <c r="F556" s="11"/>
      <c r="G556" s="8"/>
      <c r="H556" s="8"/>
      <c r="I556" s="8"/>
      <c r="J556" s="8"/>
    </row>
    <row r="557" spans="1:10" x14ac:dyDescent="0.3">
      <c r="A557" s="7"/>
      <c r="B557" s="8"/>
      <c r="C557" s="8"/>
      <c r="D557" s="9"/>
      <c r="E557" s="10"/>
      <c r="F557" s="11"/>
      <c r="G557" s="8"/>
      <c r="H557" s="8"/>
      <c r="I557" s="8"/>
      <c r="J557" s="8"/>
    </row>
    <row r="558" spans="1:10" x14ac:dyDescent="0.3">
      <c r="A558" s="7"/>
      <c r="B558" s="8"/>
      <c r="C558" s="8"/>
      <c r="D558" s="9"/>
      <c r="E558" s="10"/>
      <c r="F558" s="11"/>
      <c r="G558" s="8"/>
      <c r="H558" s="8"/>
      <c r="I558" s="8"/>
      <c r="J558" s="8"/>
    </row>
    <row r="559" spans="1:10" x14ac:dyDescent="0.3">
      <c r="A559" s="7"/>
      <c r="B559" s="8"/>
      <c r="C559" s="8"/>
      <c r="D559" s="9"/>
      <c r="E559" s="10"/>
      <c r="F559" s="11"/>
      <c r="G559" s="8"/>
      <c r="H559" s="8"/>
      <c r="I559" s="8"/>
      <c r="J559" s="8"/>
    </row>
    <row r="560" spans="1:10" x14ac:dyDescent="0.3">
      <c r="A560" s="7"/>
      <c r="B560" s="8"/>
      <c r="C560" s="8"/>
      <c r="D560" s="9"/>
      <c r="E560" s="10"/>
      <c r="F560" s="11"/>
      <c r="G560" s="8"/>
      <c r="H560" s="8"/>
      <c r="I560" s="8"/>
      <c r="J560" s="8"/>
    </row>
    <row r="561" spans="1:10" x14ac:dyDescent="0.3">
      <c r="A561" s="7"/>
      <c r="B561" s="8"/>
      <c r="C561" s="8"/>
      <c r="D561" s="9"/>
      <c r="E561" s="10"/>
      <c r="F561" s="11"/>
      <c r="G561" s="8"/>
      <c r="H561" s="8"/>
      <c r="I561" s="8"/>
      <c r="J561" s="8"/>
    </row>
    <row r="562" spans="1:10" x14ac:dyDescent="0.3">
      <c r="A562" s="7"/>
      <c r="B562" s="8"/>
      <c r="C562" s="8"/>
      <c r="D562" s="9"/>
      <c r="E562" s="10"/>
      <c r="F562" s="11"/>
      <c r="G562" s="8"/>
      <c r="H562" s="8"/>
      <c r="I562" s="8"/>
      <c r="J562" s="8"/>
    </row>
    <row r="563" spans="1:10" x14ac:dyDescent="0.3">
      <c r="A563" s="7"/>
      <c r="B563" s="8"/>
      <c r="C563" s="8"/>
      <c r="D563" s="9"/>
      <c r="E563" s="10"/>
      <c r="F563" s="11"/>
      <c r="G563" s="8"/>
      <c r="H563" s="8"/>
      <c r="I563" s="8"/>
      <c r="J563" s="8"/>
    </row>
    <row r="564" spans="1:10" x14ac:dyDescent="0.3">
      <c r="A564" s="7"/>
      <c r="B564" s="8"/>
      <c r="C564" s="8"/>
      <c r="D564" s="9"/>
      <c r="E564" s="10"/>
      <c r="F564" s="11"/>
      <c r="G564" s="8"/>
      <c r="H564" s="8"/>
      <c r="I564" s="8"/>
      <c r="J564" s="8"/>
    </row>
    <row r="565" spans="1:10" x14ac:dyDescent="0.3">
      <c r="A565" s="7"/>
      <c r="B565" s="8"/>
      <c r="C565" s="8"/>
      <c r="D565" s="9"/>
      <c r="E565" s="10"/>
      <c r="F565" s="11"/>
      <c r="G565" s="8"/>
      <c r="H565" s="8"/>
      <c r="I565" s="8"/>
      <c r="J565" s="8"/>
    </row>
    <row r="566" spans="1:10" x14ac:dyDescent="0.3">
      <c r="A566" s="7"/>
      <c r="B566" s="8"/>
      <c r="C566" s="8"/>
      <c r="D566" s="9"/>
      <c r="E566" s="10"/>
      <c r="F566" s="11"/>
      <c r="G566" s="8"/>
      <c r="H566" s="8"/>
      <c r="I566" s="8"/>
      <c r="J566" s="8"/>
    </row>
    <row r="567" spans="1:10" x14ac:dyDescent="0.3">
      <c r="A567" s="7"/>
      <c r="B567" s="8"/>
      <c r="C567" s="8"/>
      <c r="D567" s="9"/>
      <c r="E567" s="10"/>
      <c r="F567" s="11"/>
      <c r="G567" s="8"/>
      <c r="H567" s="8"/>
      <c r="I567" s="8"/>
      <c r="J567" s="8"/>
    </row>
    <row r="568" spans="1:10" x14ac:dyDescent="0.3">
      <c r="A568" s="7"/>
      <c r="B568" s="8"/>
      <c r="C568" s="8"/>
      <c r="D568" s="9"/>
      <c r="E568" s="10"/>
      <c r="F568" s="11"/>
      <c r="G568" s="8"/>
      <c r="H568" s="8"/>
      <c r="I568" s="8"/>
      <c r="J568" s="8"/>
    </row>
    <row r="569" spans="1:10" x14ac:dyDescent="0.3">
      <c r="A569" s="7"/>
      <c r="B569" s="8"/>
      <c r="C569" s="8"/>
      <c r="D569" s="9"/>
      <c r="E569" s="10"/>
      <c r="F569" s="11"/>
      <c r="G569" s="8"/>
      <c r="H569" s="8"/>
      <c r="I569" s="8"/>
      <c r="J569" s="8"/>
    </row>
    <row r="570" spans="1:10" x14ac:dyDescent="0.3">
      <c r="A570" s="7"/>
      <c r="B570" s="8"/>
      <c r="C570" s="8"/>
      <c r="D570" s="9"/>
      <c r="E570" s="10"/>
      <c r="F570" s="11"/>
      <c r="G570" s="8"/>
      <c r="H570" s="8"/>
      <c r="I570" s="8"/>
      <c r="J570" s="8"/>
    </row>
    <row r="571" spans="1:10" x14ac:dyDescent="0.3">
      <c r="A571" s="7"/>
      <c r="B571" s="8"/>
      <c r="C571" s="8"/>
      <c r="D571" s="9"/>
      <c r="E571" s="10"/>
      <c r="F571" s="11"/>
      <c r="G571" s="8"/>
      <c r="H571" s="8"/>
      <c r="I571" s="8"/>
      <c r="J571" s="8"/>
    </row>
    <row r="572" spans="1:10" x14ac:dyDescent="0.3">
      <c r="A572" s="7"/>
      <c r="B572" s="8"/>
      <c r="C572" s="8"/>
      <c r="D572" s="9"/>
      <c r="E572" s="10"/>
      <c r="F572" s="11"/>
      <c r="G572" s="8"/>
      <c r="H572" s="8"/>
      <c r="I572" s="8"/>
      <c r="J572" s="8"/>
    </row>
    <row r="573" spans="1:10" x14ac:dyDescent="0.3">
      <c r="A573" s="7"/>
      <c r="B573" s="8"/>
      <c r="C573" s="8"/>
      <c r="D573" s="9"/>
      <c r="E573" s="10"/>
      <c r="F573" s="11"/>
      <c r="G573" s="8"/>
      <c r="H573" s="8"/>
      <c r="I573" s="8"/>
      <c r="J573" s="8"/>
    </row>
    <row r="574" spans="1:10" x14ac:dyDescent="0.3">
      <c r="A574" s="7"/>
      <c r="B574" s="8"/>
      <c r="C574" s="8"/>
      <c r="D574" s="9"/>
      <c r="E574" s="10"/>
      <c r="F574" s="11"/>
      <c r="G574" s="8"/>
      <c r="H574" s="8"/>
      <c r="I574" s="8"/>
      <c r="J574" s="8"/>
    </row>
    <row r="575" spans="1:10" x14ac:dyDescent="0.3">
      <c r="A575" s="7"/>
      <c r="B575" s="8"/>
      <c r="C575" s="8"/>
      <c r="D575" s="9"/>
      <c r="E575" s="10"/>
      <c r="F575" s="11"/>
      <c r="G575" s="8"/>
      <c r="H575" s="8"/>
      <c r="I575" s="8"/>
      <c r="J575" s="8"/>
    </row>
    <row r="576" spans="1:10" x14ac:dyDescent="0.3">
      <c r="A576" s="7"/>
      <c r="B576" s="8"/>
      <c r="C576" s="8"/>
      <c r="D576" s="9"/>
      <c r="E576" s="10"/>
      <c r="F576" s="11"/>
      <c r="G576" s="8"/>
      <c r="H576" s="8"/>
      <c r="I576" s="8"/>
      <c r="J576" s="8"/>
    </row>
    <row r="577" spans="1:10" x14ac:dyDescent="0.3">
      <c r="A577" s="7"/>
      <c r="B577" s="8"/>
      <c r="C577" s="8"/>
      <c r="D577" s="9"/>
      <c r="E577" s="10"/>
      <c r="F577" s="11"/>
      <c r="G577" s="8"/>
      <c r="H577" s="8"/>
      <c r="I577" s="8"/>
      <c r="J577" s="8"/>
    </row>
    <row r="578" spans="1:10" x14ac:dyDescent="0.3">
      <c r="A578" s="7"/>
      <c r="B578" s="8"/>
      <c r="C578" s="8"/>
      <c r="D578" s="9"/>
      <c r="E578" s="10"/>
      <c r="F578" s="11"/>
      <c r="G578" s="8"/>
      <c r="H578" s="8"/>
      <c r="I578" s="8"/>
      <c r="J578" s="8"/>
    </row>
    <row r="579" spans="1:10" x14ac:dyDescent="0.3">
      <c r="A579" s="7"/>
      <c r="B579" s="8"/>
      <c r="C579" s="8"/>
      <c r="D579" s="9"/>
      <c r="E579" s="10"/>
      <c r="F579" s="11"/>
      <c r="G579" s="8"/>
      <c r="H579" s="8"/>
      <c r="I579" s="8"/>
      <c r="J579" s="8"/>
    </row>
    <row r="580" spans="1:10" x14ac:dyDescent="0.3">
      <c r="A580" s="7"/>
      <c r="B580" s="8"/>
      <c r="C580" s="8"/>
      <c r="D580" s="9"/>
      <c r="E580" s="10"/>
      <c r="F580" s="11"/>
      <c r="G580" s="8"/>
      <c r="H580" s="8"/>
      <c r="I580" s="8"/>
      <c r="J580" s="8"/>
    </row>
    <row r="581" spans="1:10" x14ac:dyDescent="0.3">
      <c r="A581" s="7"/>
      <c r="B581" s="8"/>
      <c r="C581" s="8"/>
      <c r="D581" s="9"/>
      <c r="E581" s="10"/>
      <c r="F581" s="11"/>
      <c r="G581" s="8"/>
      <c r="H581" s="8"/>
      <c r="I581" s="8"/>
      <c r="J581" s="8"/>
    </row>
    <row r="582" spans="1:10" x14ac:dyDescent="0.3">
      <c r="A582" s="7"/>
      <c r="B582" s="8"/>
      <c r="C582" s="8"/>
      <c r="D582" s="9"/>
      <c r="E582" s="10"/>
      <c r="F582" s="11"/>
      <c r="G582" s="8"/>
      <c r="H582" s="8"/>
      <c r="I582" s="8"/>
      <c r="J582" s="8"/>
    </row>
    <row r="583" spans="1:10" x14ac:dyDescent="0.3">
      <c r="A583" s="7"/>
      <c r="B583" s="8"/>
      <c r="C583" s="8"/>
      <c r="D583" s="9"/>
      <c r="E583" s="10"/>
      <c r="F583" s="11"/>
      <c r="G583" s="8"/>
      <c r="H583" s="8"/>
      <c r="I583" s="8"/>
      <c r="J583" s="8"/>
    </row>
    <row r="584" spans="1:10" x14ac:dyDescent="0.3">
      <c r="A584" s="7"/>
      <c r="B584" s="8"/>
      <c r="C584" s="8"/>
      <c r="D584" s="9"/>
      <c r="E584" s="10"/>
      <c r="F584" s="11"/>
      <c r="G584" s="8"/>
      <c r="H584" s="8"/>
      <c r="I584" s="8"/>
      <c r="J584" s="8"/>
    </row>
    <row r="585" spans="1:10" x14ac:dyDescent="0.3">
      <c r="A585" s="7"/>
      <c r="B585" s="8"/>
      <c r="C585" s="8"/>
      <c r="D585" s="9"/>
      <c r="E585" s="10"/>
      <c r="F585" s="11"/>
      <c r="G585" s="8"/>
      <c r="H585" s="8"/>
      <c r="I585" s="8"/>
      <c r="J585" s="8"/>
    </row>
    <row r="586" spans="1:10" x14ac:dyDescent="0.3">
      <c r="A586" s="7"/>
      <c r="B586" s="8"/>
      <c r="C586" s="8"/>
      <c r="D586" s="9"/>
      <c r="E586" s="10"/>
      <c r="F586" s="11"/>
      <c r="G586" s="8"/>
      <c r="H586" s="8"/>
      <c r="I586" s="8"/>
      <c r="J586" s="8"/>
    </row>
    <row r="587" spans="1:10" x14ac:dyDescent="0.3">
      <c r="A587" s="7"/>
      <c r="B587" s="8"/>
      <c r="C587" s="8"/>
      <c r="D587" s="9"/>
      <c r="E587" s="10"/>
      <c r="F587" s="11"/>
      <c r="G587" s="8"/>
      <c r="H587" s="8"/>
      <c r="I587" s="8"/>
      <c r="J587" s="8"/>
    </row>
    <row r="588" spans="1:10" x14ac:dyDescent="0.3">
      <c r="A588" s="7"/>
      <c r="B588" s="8"/>
      <c r="C588" s="8"/>
      <c r="D588" s="9"/>
      <c r="E588" s="10"/>
      <c r="F588" s="11"/>
      <c r="G588" s="8"/>
      <c r="H588" s="8"/>
      <c r="I588" s="8"/>
      <c r="J588" s="8"/>
    </row>
    <row r="589" spans="1:10" x14ac:dyDescent="0.3">
      <c r="A589" s="7"/>
      <c r="B589" s="8"/>
      <c r="C589" s="8"/>
      <c r="D589" s="9"/>
      <c r="E589" s="10"/>
      <c r="F589" s="11"/>
      <c r="G589" s="8"/>
      <c r="H589" s="8"/>
      <c r="I589" s="8"/>
      <c r="J589" s="8"/>
    </row>
    <row r="590" spans="1:10" x14ac:dyDescent="0.3">
      <c r="A590" s="7"/>
      <c r="B590" s="8"/>
      <c r="C590" s="8"/>
      <c r="D590" s="9"/>
      <c r="E590" s="10"/>
      <c r="F590" s="11"/>
      <c r="G590" s="8"/>
      <c r="H590" s="8"/>
      <c r="I590" s="8"/>
      <c r="J590" s="8"/>
    </row>
    <row r="591" spans="1:10" x14ac:dyDescent="0.3">
      <c r="A591" s="7"/>
      <c r="B591" s="8"/>
      <c r="C591" s="8"/>
      <c r="D591" s="9"/>
      <c r="E591" s="10"/>
      <c r="F591" s="11"/>
      <c r="G591" s="8"/>
      <c r="H591" s="8"/>
      <c r="I591" s="8"/>
      <c r="J591" s="8"/>
    </row>
    <row r="592" spans="1:10" x14ac:dyDescent="0.3">
      <c r="A592" s="7"/>
      <c r="B592" s="8"/>
      <c r="C592" s="8"/>
      <c r="D592" s="9"/>
      <c r="E592" s="10"/>
      <c r="F592" s="11"/>
      <c r="G592" s="8"/>
      <c r="H592" s="8"/>
      <c r="I592" s="8"/>
      <c r="J592" s="8"/>
    </row>
    <row r="593" spans="1:10" x14ac:dyDescent="0.3">
      <c r="A593" s="7"/>
      <c r="B593" s="8"/>
      <c r="C593" s="8"/>
      <c r="D593" s="9"/>
      <c r="E593" s="10"/>
      <c r="F593" s="11"/>
      <c r="G593" s="8"/>
      <c r="H593" s="8"/>
      <c r="I593" s="8"/>
      <c r="J593" s="8"/>
    </row>
    <row r="594" spans="1:10" x14ac:dyDescent="0.3">
      <c r="A594" s="7"/>
      <c r="B594" s="8"/>
      <c r="C594" s="8"/>
      <c r="D594" s="9"/>
      <c r="E594" s="10"/>
      <c r="F594" s="11"/>
      <c r="G594" s="8"/>
      <c r="H594" s="8"/>
      <c r="I594" s="8"/>
      <c r="J594" s="8"/>
    </row>
    <row r="595" spans="1:10" x14ac:dyDescent="0.3">
      <c r="A595" s="7"/>
      <c r="B595" s="8"/>
      <c r="C595" s="8"/>
      <c r="D595" s="9"/>
      <c r="E595" s="10"/>
      <c r="F595" s="11"/>
      <c r="G595" s="8"/>
      <c r="H595" s="8"/>
      <c r="I595" s="8"/>
      <c r="J595" s="8"/>
    </row>
    <row r="596" spans="1:10" x14ac:dyDescent="0.3">
      <c r="A596" s="7"/>
      <c r="B596" s="8"/>
      <c r="C596" s="8"/>
      <c r="D596" s="9"/>
      <c r="E596" s="10"/>
      <c r="F596" s="11"/>
      <c r="G596" s="8"/>
      <c r="H596" s="8"/>
      <c r="I596" s="8"/>
      <c r="J596" s="8"/>
    </row>
    <row r="597" spans="1:10" x14ac:dyDescent="0.3">
      <c r="A597" s="7"/>
      <c r="B597" s="8"/>
      <c r="C597" s="8"/>
      <c r="D597" s="9"/>
      <c r="E597" s="10"/>
      <c r="F597" s="11"/>
      <c r="G597" s="8"/>
      <c r="H597" s="8"/>
      <c r="I597" s="8"/>
      <c r="J597" s="8"/>
    </row>
    <row r="598" spans="1:10" x14ac:dyDescent="0.3">
      <c r="A598" s="7"/>
      <c r="B598" s="8"/>
      <c r="C598" s="8"/>
      <c r="D598" s="9"/>
      <c r="E598" s="10"/>
      <c r="F598" s="11"/>
      <c r="G598" s="8"/>
      <c r="H598" s="8"/>
      <c r="I598" s="8"/>
      <c r="J598" s="8"/>
    </row>
    <row r="599" spans="1:10" x14ac:dyDescent="0.3">
      <c r="A599" s="7"/>
      <c r="B599" s="8"/>
      <c r="C599" s="8"/>
      <c r="D599" s="9"/>
      <c r="E599" s="10"/>
      <c r="F599" s="11"/>
      <c r="G599" s="8"/>
      <c r="H599" s="8"/>
      <c r="I599" s="8"/>
      <c r="J599" s="8"/>
    </row>
    <row r="600" spans="1:10" x14ac:dyDescent="0.3">
      <c r="A600" s="7"/>
      <c r="B600" s="8"/>
      <c r="C600" s="8"/>
      <c r="D600" s="9"/>
      <c r="E600" s="10"/>
      <c r="F600" s="11"/>
      <c r="G600" s="8"/>
      <c r="H600" s="8"/>
      <c r="I600" s="8"/>
      <c r="J600" s="8"/>
    </row>
    <row r="601" spans="1:10" x14ac:dyDescent="0.3">
      <c r="A601" s="7"/>
      <c r="B601" s="8"/>
      <c r="C601" s="8"/>
      <c r="D601" s="9"/>
      <c r="E601" s="10"/>
      <c r="F601" s="11"/>
      <c r="G601" s="8"/>
      <c r="H601" s="8"/>
      <c r="I601" s="8"/>
      <c r="J601" s="8"/>
    </row>
    <row r="602" spans="1:10" x14ac:dyDescent="0.3">
      <c r="A602" s="7"/>
      <c r="B602" s="8"/>
      <c r="C602" s="8"/>
      <c r="D602" s="9"/>
      <c r="E602" s="10"/>
      <c r="F602" s="11"/>
      <c r="G602" s="8"/>
      <c r="H602" s="8"/>
      <c r="I602" s="8"/>
      <c r="J602" s="8"/>
    </row>
    <row r="603" spans="1:10" x14ac:dyDescent="0.3">
      <c r="A603" s="7"/>
      <c r="B603" s="8"/>
      <c r="C603" s="8"/>
      <c r="D603" s="9"/>
      <c r="E603" s="10"/>
      <c r="F603" s="11"/>
      <c r="G603" s="8"/>
      <c r="H603" s="8"/>
      <c r="I603" s="8"/>
      <c r="J603" s="8"/>
    </row>
    <row r="604" spans="1:10" x14ac:dyDescent="0.3">
      <c r="A604" s="7"/>
      <c r="B604" s="8"/>
      <c r="C604" s="8"/>
      <c r="D604" s="9"/>
      <c r="E604" s="10"/>
      <c r="F604" s="11"/>
      <c r="G604" s="8"/>
      <c r="H604" s="8"/>
      <c r="I604" s="8"/>
      <c r="J604" s="8"/>
    </row>
    <row r="605" spans="1:10" x14ac:dyDescent="0.3">
      <c r="A605" s="7"/>
      <c r="B605" s="8"/>
      <c r="C605" s="8"/>
      <c r="D605" s="9"/>
      <c r="E605" s="10"/>
      <c r="F605" s="11"/>
      <c r="G605" s="8"/>
      <c r="H605" s="8"/>
      <c r="I605" s="8"/>
      <c r="J605" s="8"/>
    </row>
    <row r="606" spans="1:10" x14ac:dyDescent="0.3">
      <c r="A606" s="7"/>
      <c r="B606" s="8"/>
      <c r="C606" s="8"/>
      <c r="D606" s="9"/>
      <c r="E606" s="10"/>
      <c r="F606" s="11"/>
      <c r="G606" s="8"/>
      <c r="H606" s="8"/>
      <c r="I606" s="8"/>
      <c r="J606" s="8"/>
    </row>
    <row r="607" spans="1:10" x14ac:dyDescent="0.3">
      <c r="A607" s="7"/>
      <c r="B607" s="8"/>
      <c r="C607" s="8"/>
      <c r="D607" s="9"/>
      <c r="E607" s="10"/>
      <c r="F607" s="11"/>
      <c r="G607" s="8"/>
      <c r="H607" s="8"/>
      <c r="I607" s="8"/>
      <c r="J607" s="8"/>
    </row>
    <row r="608" spans="1:10" x14ac:dyDescent="0.3">
      <c r="A608" s="7"/>
      <c r="B608" s="8"/>
      <c r="C608" s="8"/>
      <c r="D608" s="9"/>
      <c r="E608" s="10"/>
      <c r="F608" s="11"/>
      <c r="G608" s="8"/>
      <c r="H608" s="8"/>
      <c r="I608" s="8"/>
      <c r="J608" s="8"/>
    </row>
    <row r="609" spans="1:10" x14ac:dyDescent="0.3">
      <c r="A609" s="7"/>
      <c r="B609" s="8"/>
      <c r="C609" s="8"/>
      <c r="D609" s="9"/>
      <c r="E609" s="10"/>
      <c r="F609" s="11"/>
      <c r="G609" s="8"/>
      <c r="H609" s="8"/>
      <c r="I609" s="8"/>
      <c r="J609" s="8"/>
    </row>
    <row r="610" spans="1:10" x14ac:dyDescent="0.3">
      <c r="A610" s="7"/>
      <c r="B610" s="8"/>
      <c r="C610" s="8"/>
      <c r="D610" s="9"/>
      <c r="E610" s="10"/>
      <c r="F610" s="11"/>
      <c r="G610" s="8"/>
      <c r="H610" s="8"/>
      <c r="I610" s="8"/>
      <c r="J610" s="8"/>
    </row>
    <row r="611" spans="1:10" x14ac:dyDescent="0.3">
      <c r="A611" s="7"/>
      <c r="B611" s="8"/>
      <c r="C611" s="8"/>
      <c r="D611" s="9"/>
      <c r="E611" s="10"/>
      <c r="F611" s="11"/>
      <c r="G611" s="8"/>
      <c r="H611" s="8"/>
      <c r="I611" s="8"/>
      <c r="J611" s="8"/>
    </row>
    <row r="612" spans="1:10" x14ac:dyDescent="0.3">
      <c r="A612" s="7"/>
      <c r="B612" s="8"/>
      <c r="C612" s="8"/>
      <c r="D612" s="9"/>
      <c r="E612" s="10"/>
      <c r="F612" s="11"/>
      <c r="G612" s="8"/>
      <c r="H612" s="8"/>
      <c r="I612" s="8"/>
      <c r="J612" s="8"/>
    </row>
    <row r="613" spans="1:10" x14ac:dyDescent="0.3">
      <c r="A613" s="7"/>
      <c r="B613" s="8"/>
      <c r="C613" s="8"/>
      <c r="D613" s="9"/>
      <c r="E613" s="10"/>
      <c r="F613" s="11"/>
      <c r="G613" s="8"/>
      <c r="H613" s="8"/>
      <c r="I613" s="8"/>
      <c r="J613" s="8"/>
    </row>
    <row r="614" spans="1:10" x14ac:dyDescent="0.3">
      <c r="A614" s="7"/>
      <c r="B614" s="8"/>
      <c r="C614" s="8"/>
      <c r="D614" s="9"/>
      <c r="E614" s="10"/>
      <c r="F614" s="11"/>
      <c r="G614" s="8"/>
      <c r="H614" s="8"/>
      <c r="I614" s="8"/>
      <c r="J614" s="8"/>
    </row>
    <row r="615" spans="1:10" x14ac:dyDescent="0.3">
      <c r="A615" s="7"/>
      <c r="B615" s="8"/>
      <c r="C615" s="8"/>
      <c r="D615" s="9"/>
      <c r="E615" s="10"/>
      <c r="F615" s="11"/>
      <c r="G615" s="8"/>
      <c r="H615" s="8"/>
      <c r="I615" s="8"/>
      <c r="J615" s="8"/>
    </row>
    <row r="616" spans="1:10" x14ac:dyDescent="0.3">
      <c r="A616" s="7"/>
      <c r="B616" s="8"/>
      <c r="C616" s="8"/>
      <c r="D616" s="9"/>
      <c r="E616" s="10"/>
      <c r="F616" s="11"/>
      <c r="G616" s="8"/>
      <c r="H616" s="8"/>
      <c r="I616" s="8"/>
      <c r="J616" s="8"/>
    </row>
    <row r="617" spans="1:10" x14ac:dyDescent="0.3">
      <c r="A617" s="7"/>
      <c r="B617" s="8"/>
      <c r="C617" s="8"/>
      <c r="D617" s="9"/>
      <c r="E617" s="10"/>
      <c r="F617" s="11"/>
      <c r="G617" s="8"/>
      <c r="H617" s="8"/>
      <c r="I617" s="8"/>
      <c r="J617" s="8"/>
    </row>
    <row r="618" spans="1:10" x14ac:dyDescent="0.3">
      <c r="A618" s="7"/>
      <c r="B618" s="8"/>
      <c r="C618" s="8"/>
      <c r="D618" s="9"/>
      <c r="E618" s="10"/>
      <c r="F618" s="11"/>
      <c r="G618" s="8"/>
      <c r="H618" s="8"/>
      <c r="I618" s="8"/>
      <c r="J618" s="8"/>
    </row>
    <row r="619" spans="1:10" x14ac:dyDescent="0.3">
      <c r="A619" s="7"/>
      <c r="B619" s="8"/>
      <c r="C619" s="8"/>
      <c r="D619" s="9"/>
      <c r="E619" s="10"/>
      <c r="F619" s="11"/>
      <c r="G619" s="8"/>
      <c r="H619" s="8"/>
      <c r="I619" s="8"/>
      <c r="J619" s="8"/>
    </row>
    <row r="620" spans="1:10" x14ac:dyDescent="0.3">
      <c r="A620" s="7"/>
      <c r="B620" s="8"/>
      <c r="C620" s="8"/>
      <c r="D620" s="9"/>
      <c r="E620" s="10"/>
      <c r="F620" s="11"/>
      <c r="G620" s="8"/>
      <c r="H620" s="8"/>
      <c r="I620" s="8"/>
      <c r="J620" s="8"/>
    </row>
    <row r="621" spans="1:10" x14ac:dyDescent="0.3">
      <c r="A621" s="7"/>
      <c r="B621" s="8"/>
      <c r="C621" s="8"/>
      <c r="D621" s="9"/>
      <c r="E621" s="10"/>
      <c r="F621" s="11"/>
      <c r="G621" s="8"/>
      <c r="H621" s="8"/>
      <c r="I621" s="8"/>
      <c r="J621" s="8"/>
    </row>
    <row r="622" spans="1:10" x14ac:dyDescent="0.3">
      <c r="A622" s="7"/>
      <c r="B622" s="8"/>
      <c r="C622" s="8"/>
      <c r="D622" s="9"/>
      <c r="E622" s="10"/>
      <c r="F622" s="11"/>
      <c r="G622" s="8"/>
      <c r="H622" s="8"/>
      <c r="I622" s="8"/>
      <c r="J622" s="8"/>
    </row>
    <row r="623" spans="1:10" x14ac:dyDescent="0.3">
      <c r="A623" s="7"/>
      <c r="B623" s="8"/>
      <c r="C623" s="8"/>
      <c r="D623" s="9"/>
      <c r="E623" s="10"/>
      <c r="F623" s="11"/>
      <c r="G623" s="8"/>
      <c r="H623" s="8"/>
      <c r="I623" s="8"/>
      <c r="J623" s="8"/>
    </row>
    <row r="624" spans="1:10" x14ac:dyDescent="0.3">
      <c r="A624" s="7"/>
      <c r="B624" s="8"/>
      <c r="C624" s="8"/>
      <c r="D624" s="9"/>
      <c r="E624" s="10"/>
      <c r="F624" s="11"/>
      <c r="G624" s="8"/>
      <c r="H624" s="8"/>
      <c r="I624" s="8"/>
      <c r="J624" s="8"/>
    </row>
    <row r="625" spans="1:10" x14ac:dyDescent="0.3">
      <c r="A625" s="7"/>
      <c r="B625" s="8"/>
      <c r="C625" s="8"/>
      <c r="D625" s="9"/>
      <c r="E625" s="10"/>
      <c r="F625" s="11"/>
      <c r="G625" s="8"/>
      <c r="H625" s="8"/>
      <c r="I625" s="8"/>
      <c r="J625" s="8"/>
    </row>
    <row r="626" spans="1:10" x14ac:dyDescent="0.3">
      <c r="A626" s="7"/>
      <c r="B626" s="8"/>
      <c r="C626" s="8"/>
      <c r="D626" s="9"/>
      <c r="E626" s="10"/>
      <c r="F626" s="11"/>
      <c r="G626" s="8"/>
      <c r="H626" s="8"/>
      <c r="I626" s="8"/>
      <c r="J626" s="8"/>
    </row>
    <row r="627" spans="1:10" x14ac:dyDescent="0.3">
      <c r="A627" s="7"/>
      <c r="B627" s="8"/>
      <c r="C627" s="8"/>
      <c r="D627" s="9"/>
      <c r="E627" s="10"/>
      <c r="F627" s="11"/>
      <c r="G627" s="8"/>
      <c r="H627" s="8"/>
      <c r="I627" s="8"/>
      <c r="J627" s="8"/>
    </row>
    <row r="628" spans="1:10" x14ac:dyDescent="0.3">
      <c r="A628" s="7"/>
      <c r="B628" s="8"/>
      <c r="C628" s="8"/>
      <c r="D628" s="9"/>
      <c r="E628" s="10"/>
      <c r="F628" s="11"/>
      <c r="G628" s="8"/>
      <c r="H628" s="8"/>
      <c r="I628" s="8"/>
      <c r="J628" s="8"/>
    </row>
    <row r="629" spans="1:10" x14ac:dyDescent="0.3">
      <c r="A629" s="7"/>
      <c r="B629" s="8"/>
      <c r="C629" s="8"/>
      <c r="D629" s="9"/>
      <c r="E629" s="10"/>
      <c r="F629" s="11"/>
      <c r="G629" s="8"/>
      <c r="H629" s="8"/>
      <c r="I629" s="8"/>
      <c r="J629" s="8"/>
    </row>
    <row r="630" spans="1:10" x14ac:dyDescent="0.3">
      <c r="A630" s="7"/>
      <c r="B630" s="8"/>
      <c r="C630" s="8"/>
      <c r="D630" s="9"/>
      <c r="E630" s="10"/>
      <c r="F630" s="11"/>
      <c r="G630" s="8"/>
      <c r="H630" s="8"/>
      <c r="I630" s="8"/>
      <c r="J630" s="8"/>
    </row>
    <row r="631" spans="1:10" x14ac:dyDescent="0.3">
      <c r="A631" s="7"/>
      <c r="B631" s="8"/>
      <c r="C631" s="8"/>
      <c r="D631" s="9"/>
      <c r="E631" s="10"/>
      <c r="F631" s="11"/>
      <c r="G631" s="8"/>
      <c r="H631" s="8"/>
      <c r="I631" s="8"/>
      <c r="J631" s="8"/>
    </row>
    <row r="632" spans="1:10" x14ac:dyDescent="0.3">
      <c r="A632" s="7"/>
      <c r="B632" s="8"/>
      <c r="C632" s="8"/>
      <c r="D632" s="9"/>
      <c r="E632" s="10"/>
      <c r="F632" s="11"/>
      <c r="G632" s="8"/>
      <c r="H632" s="8"/>
      <c r="I632" s="8"/>
      <c r="J632" s="8"/>
    </row>
    <row r="633" spans="1:10" x14ac:dyDescent="0.3">
      <c r="A633" s="7"/>
      <c r="B633" s="8"/>
      <c r="C633" s="8"/>
      <c r="D633" s="9"/>
      <c r="E633" s="10"/>
      <c r="F633" s="11"/>
      <c r="G633" s="8"/>
      <c r="H633" s="8"/>
      <c r="I633" s="8"/>
      <c r="J633" s="8"/>
    </row>
    <row r="634" spans="1:10" x14ac:dyDescent="0.3">
      <c r="A634" s="7"/>
      <c r="B634" s="8"/>
      <c r="C634" s="8"/>
      <c r="D634" s="9"/>
      <c r="E634" s="10"/>
      <c r="F634" s="11"/>
      <c r="G634" s="8"/>
      <c r="H634" s="8"/>
      <c r="I634" s="8"/>
      <c r="J634" s="8"/>
    </row>
    <row r="635" spans="1:10" x14ac:dyDescent="0.3">
      <c r="A635" s="7"/>
      <c r="B635" s="8"/>
      <c r="C635" s="8"/>
      <c r="D635" s="9"/>
      <c r="E635" s="10"/>
      <c r="F635" s="11"/>
      <c r="G635" s="8"/>
      <c r="H635" s="8"/>
      <c r="I635" s="8"/>
      <c r="J635" s="8"/>
    </row>
    <row r="636" spans="1:10" x14ac:dyDescent="0.3">
      <c r="A636" s="7"/>
      <c r="B636" s="8"/>
      <c r="C636" s="8"/>
      <c r="D636" s="9"/>
      <c r="E636" s="10"/>
      <c r="F636" s="11"/>
      <c r="G636" s="8"/>
      <c r="H636" s="8"/>
      <c r="I636" s="8"/>
      <c r="J636" s="8"/>
    </row>
    <row r="637" spans="1:10" x14ac:dyDescent="0.3">
      <c r="A637" s="7"/>
      <c r="B637" s="8"/>
      <c r="C637" s="8"/>
      <c r="D637" s="9"/>
      <c r="E637" s="10"/>
      <c r="F637" s="11"/>
      <c r="G637" s="8"/>
      <c r="H637" s="8"/>
      <c r="I637" s="8"/>
      <c r="J637" s="8"/>
    </row>
    <row r="638" spans="1:10" x14ac:dyDescent="0.3">
      <c r="A638" s="7"/>
      <c r="B638" s="8"/>
      <c r="C638" s="8"/>
      <c r="D638" s="9"/>
      <c r="E638" s="10"/>
      <c r="F638" s="11"/>
      <c r="G638" s="8"/>
      <c r="H638" s="8"/>
      <c r="I638" s="8"/>
      <c r="J638" s="8"/>
    </row>
    <row r="639" spans="1:10" x14ac:dyDescent="0.3">
      <c r="A639" s="7"/>
      <c r="B639" s="8"/>
      <c r="C639" s="8"/>
      <c r="D639" s="9"/>
      <c r="E639" s="10"/>
      <c r="F639" s="11"/>
      <c r="G639" s="8"/>
      <c r="H639" s="8"/>
      <c r="I639" s="8"/>
      <c r="J639" s="8"/>
    </row>
    <row r="640" spans="1:10" x14ac:dyDescent="0.3">
      <c r="A640" s="7"/>
      <c r="B640" s="8"/>
      <c r="C640" s="8"/>
      <c r="D640" s="9"/>
      <c r="E640" s="10"/>
      <c r="F640" s="11"/>
      <c r="G640" s="8"/>
      <c r="H640" s="8"/>
      <c r="I640" s="8"/>
      <c r="J640" s="8"/>
    </row>
    <row r="641" spans="1:10" x14ac:dyDescent="0.3">
      <c r="A641" s="7"/>
      <c r="B641" s="8"/>
      <c r="C641" s="8"/>
      <c r="D641" s="9"/>
      <c r="E641" s="10"/>
      <c r="F641" s="11"/>
      <c r="G641" s="8"/>
      <c r="H641" s="8"/>
      <c r="I641" s="8"/>
      <c r="J641" s="8"/>
    </row>
    <row r="642" spans="1:10" x14ac:dyDescent="0.3">
      <c r="A642" s="7"/>
      <c r="B642" s="8"/>
      <c r="C642" s="8"/>
      <c r="D642" s="9"/>
      <c r="E642" s="10"/>
      <c r="F642" s="11"/>
      <c r="G642" s="8"/>
      <c r="H642" s="8"/>
      <c r="I642" s="8"/>
      <c r="J642" s="8"/>
    </row>
    <row r="643" spans="1:10" x14ac:dyDescent="0.3">
      <c r="A643" s="7"/>
      <c r="B643" s="8"/>
      <c r="C643" s="8"/>
      <c r="D643" s="9"/>
      <c r="E643" s="10"/>
      <c r="F643" s="11"/>
      <c r="G643" s="8"/>
      <c r="H643" s="8"/>
      <c r="I643" s="8"/>
      <c r="J643" s="8"/>
    </row>
    <row r="644" spans="1:10" x14ac:dyDescent="0.3">
      <c r="A644" s="7"/>
      <c r="B644" s="8"/>
      <c r="C644" s="8"/>
      <c r="D644" s="9"/>
      <c r="E644" s="10"/>
      <c r="F644" s="11"/>
      <c r="G644" s="8"/>
      <c r="H644" s="8"/>
      <c r="I644" s="8"/>
      <c r="J644" s="8"/>
    </row>
    <row r="645" spans="1:10" x14ac:dyDescent="0.3">
      <c r="A645" s="7"/>
      <c r="B645" s="8"/>
      <c r="C645" s="8"/>
      <c r="D645" s="9"/>
      <c r="E645" s="10"/>
      <c r="F645" s="11"/>
      <c r="G645" s="8"/>
      <c r="H645" s="8"/>
      <c r="I645" s="8"/>
      <c r="J645" s="8"/>
    </row>
    <row r="646" spans="1:10" x14ac:dyDescent="0.3">
      <c r="A646" s="7"/>
      <c r="B646" s="8"/>
      <c r="C646" s="8"/>
      <c r="D646" s="9"/>
      <c r="E646" s="10"/>
      <c r="F646" s="11"/>
      <c r="G646" s="8"/>
      <c r="H646" s="8"/>
      <c r="I646" s="8"/>
      <c r="J646" s="8"/>
    </row>
    <row r="647" spans="1:10" x14ac:dyDescent="0.3">
      <c r="A647" s="7"/>
      <c r="B647" s="8"/>
      <c r="C647" s="8"/>
      <c r="D647" s="9"/>
      <c r="E647" s="10"/>
      <c r="F647" s="11"/>
      <c r="G647" s="8"/>
      <c r="H647" s="8"/>
      <c r="I647" s="8"/>
      <c r="J647" s="8"/>
    </row>
    <row r="648" spans="1:10" x14ac:dyDescent="0.3">
      <c r="A648" s="7"/>
      <c r="B648" s="8"/>
      <c r="C648" s="8"/>
      <c r="D648" s="9"/>
      <c r="E648" s="10"/>
      <c r="F648" s="11"/>
      <c r="G648" s="8"/>
      <c r="H648" s="8"/>
      <c r="I648" s="8"/>
      <c r="J648" s="8"/>
    </row>
    <row r="649" spans="1:10" x14ac:dyDescent="0.3">
      <c r="A649" s="7"/>
      <c r="B649" s="8"/>
      <c r="C649" s="8"/>
      <c r="D649" s="9"/>
      <c r="E649" s="10"/>
      <c r="F649" s="11"/>
      <c r="G649" s="8"/>
      <c r="H649" s="8"/>
      <c r="I649" s="8"/>
      <c r="J649" s="8"/>
    </row>
    <row r="650" spans="1:10" x14ac:dyDescent="0.3">
      <c r="A650" s="7"/>
      <c r="B650" s="8"/>
      <c r="C650" s="8"/>
      <c r="D650" s="9"/>
      <c r="E650" s="10"/>
      <c r="F650" s="11"/>
      <c r="G650" s="8"/>
      <c r="H650" s="8"/>
      <c r="I650" s="8"/>
      <c r="J650" s="8"/>
    </row>
    <row r="651" spans="1:10" x14ac:dyDescent="0.3">
      <c r="A651" s="7"/>
      <c r="B651" s="8"/>
      <c r="C651" s="8"/>
      <c r="D651" s="9"/>
      <c r="E651" s="10"/>
      <c r="F651" s="11"/>
      <c r="G651" s="8"/>
      <c r="H651" s="8"/>
      <c r="I651" s="8"/>
      <c r="J651" s="8"/>
    </row>
    <row r="652" spans="1:10" x14ac:dyDescent="0.3">
      <c r="A652" s="7"/>
      <c r="B652" s="8"/>
      <c r="C652" s="8"/>
      <c r="D652" s="9"/>
      <c r="E652" s="10"/>
      <c r="F652" s="11"/>
      <c r="G652" s="8"/>
      <c r="H652" s="8"/>
      <c r="I652" s="8"/>
      <c r="J652" s="8"/>
    </row>
    <row r="653" spans="1:10" x14ac:dyDescent="0.3">
      <c r="A653" s="7"/>
      <c r="B653" s="8"/>
      <c r="C653" s="8"/>
      <c r="D653" s="9"/>
      <c r="E653" s="10"/>
      <c r="F653" s="11"/>
      <c r="G653" s="8"/>
      <c r="H653" s="8"/>
      <c r="I653" s="8"/>
      <c r="J653" s="8"/>
    </row>
    <row r="654" spans="1:10" x14ac:dyDescent="0.3">
      <c r="A654" s="7"/>
      <c r="B654" s="8"/>
      <c r="C654" s="8"/>
      <c r="D654" s="9"/>
      <c r="E654" s="10"/>
      <c r="F654" s="11"/>
      <c r="G654" s="8"/>
      <c r="H654" s="8"/>
      <c r="I654" s="8"/>
      <c r="J654" s="8"/>
    </row>
    <row r="655" spans="1:10" x14ac:dyDescent="0.3">
      <c r="A655" s="7"/>
      <c r="B655" s="8"/>
      <c r="C655" s="8"/>
      <c r="D655" s="9"/>
      <c r="E655" s="10"/>
      <c r="F655" s="11"/>
      <c r="G655" s="8"/>
      <c r="H655" s="8"/>
      <c r="I655" s="8"/>
      <c r="J655" s="8"/>
    </row>
    <row r="656" spans="1:10" x14ac:dyDescent="0.3">
      <c r="A656" s="7"/>
      <c r="B656" s="8"/>
      <c r="C656" s="8"/>
      <c r="D656" s="9"/>
      <c r="E656" s="10"/>
      <c r="F656" s="11"/>
      <c r="G656" s="8"/>
      <c r="H656" s="8"/>
      <c r="I656" s="8"/>
      <c r="J656" s="8"/>
    </row>
    <row r="657" spans="1:10" x14ac:dyDescent="0.3">
      <c r="A657" s="7"/>
      <c r="B657" s="8"/>
      <c r="C657" s="8"/>
      <c r="D657" s="9"/>
      <c r="E657" s="10"/>
      <c r="F657" s="11"/>
      <c r="G657" s="8"/>
      <c r="H657" s="8"/>
      <c r="I657" s="8"/>
      <c r="J657" s="8"/>
    </row>
    <row r="658" spans="1:10" x14ac:dyDescent="0.3">
      <c r="A658" s="7"/>
      <c r="B658" s="8"/>
      <c r="C658" s="8"/>
      <c r="D658" s="9"/>
      <c r="E658" s="10"/>
      <c r="F658" s="11"/>
      <c r="G658" s="8"/>
      <c r="H658" s="8"/>
      <c r="I658" s="8"/>
      <c r="J658" s="8"/>
    </row>
    <row r="659" spans="1:10" x14ac:dyDescent="0.3">
      <c r="A659" s="7"/>
      <c r="B659" s="8"/>
      <c r="C659" s="8"/>
      <c r="D659" s="9"/>
      <c r="E659" s="10"/>
      <c r="F659" s="11"/>
      <c r="G659" s="8"/>
      <c r="H659" s="8"/>
      <c r="I659" s="8"/>
      <c r="J659" s="8"/>
    </row>
    <row r="660" spans="1:10" x14ac:dyDescent="0.3">
      <c r="A660" s="7"/>
      <c r="B660" s="8"/>
      <c r="C660" s="8"/>
      <c r="D660" s="9"/>
      <c r="E660" s="10"/>
      <c r="F660" s="11"/>
      <c r="G660" s="8"/>
      <c r="H660" s="8"/>
      <c r="I660" s="8"/>
      <c r="J660" s="8"/>
    </row>
    <row r="661" spans="1:10" x14ac:dyDescent="0.3">
      <c r="A661" s="7"/>
      <c r="B661" s="8"/>
      <c r="C661" s="8"/>
      <c r="D661" s="9"/>
      <c r="E661" s="10"/>
      <c r="F661" s="11"/>
      <c r="G661" s="8"/>
      <c r="H661" s="8"/>
      <c r="I661" s="8"/>
      <c r="J661" s="8"/>
    </row>
    <row r="662" spans="1:10" x14ac:dyDescent="0.3">
      <c r="A662" s="7"/>
      <c r="B662" s="8"/>
      <c r="C662" s="8"/>
      <c r="D662" s="9"/>
      <c r="E662" s="10"/>
      <c r="F662" s="11"/>
      <c r="G662" s="8"/>
      <c r="H662" s="8"/>
      <c r="I662" s="8"/>
      <c r="J662" s="8"/>
    </row>
    <row r="663" spans="1:10" x14ac:dyDescent="0.3">
      <c r="A663" s="7"/>
      <c r="B663" s="8"/>
      <c r="C663" s="8"/>
      <c r="D663" s="9"/>
      <c r="E663" s="10"/>
      <c r="F663" s="11"/>
      <c r="G663" s="8"/>
      <c r="H663" s="8"/>
      <c r="I663" s="8"/>
      <c r="J663" s="8"/>
    </row>
    <row r="664" spans="1:10" x14ac:dyDescent="0.3">
      <c r="A664" s="7"/>
      <c r="B664" s="8"/>
      <c r="C664" s="8"/>
      <c r="D664" s="9"/>
      <c r="E664" s="10"/>
      <c r="F664" s="11"/>
      <c r="G664" s="8"/>
      <c r="H664" s="8"/>
      <c r="I664" s="8"/>
      <c r="J664" s="8"/>
    </row>
    <row r="665" spans="1:10" x14ac:dyDescent="0.3">
      <c r="A665" s="7"/>
      <c r="B665" s="8"/>
      <c r="C665" s="8"/>
      <c r="D665" s="9"/>
      <c r="E665" s="10"/>
      <c r="F665" s="11"/>
      <c r="G665" s="8"/>
      <c r="H665" s="8"/>
      <c r="I665" s="8"/>
      <c r="J665" s="8"/>
    </row>
    <row r="666" spans="1:10" x14ac:dyDescent="0.3">
      <c r="A666" s="7"/>
      <c r="B666" s="8"/>
      <c r="C666" s="8"/>
      <c r="D666" s="9"/>
      <c r="E666" s="10"/>
      <c r="F666" s="11"/>
      <c r="G666" s="8"/>
      <c r="H666" s="8"/>
      <c r="I666" s="8"/>
      <c r="J666" s="8"/>
    </row>
    <row r="667" spans="1:10" x14ac:dyDescent="0.3">
      <c r="A667" s="7"/>
      <c r="B667" s="8"/>
      <c r="C667" s="8"/>
      <c r="D667" s="9"/>
      <c r="E667" s="10"/>
      <c r="F667" s="11"/>
      <c r="G667" s="8"/>
      <c r="H667" s="8"/>
      <c r="I667" s="8"/>
      <c r="J667" s="8"/>
    </row>
    <row r="668" spans="1:10" x14ac:dyDescent="0.3">
      <c r="A668" s="7"/>
      <c r="B668" s="8"/>
      <c r="C668" s="8"/>
      <c r="D668" s="9"/>
      <c r="E668" s="10"/>
      <c r="F668" s="11"/>
      <c r="G668" s="8"/>
      <c r="H668" s="8"/>
      <c r="I668" s="8"/>
      <c r="J668" s="8"/>
    </row>
    <row r="669" spans="1:10" x14ac:dyDescent="0.3">
      <c r="A669" s="7"/>
      <c r="B669" s="8"/>
      <c r="C669" s="8"/>
      <c r="D669" s="9"/>
      <c r="E669" s="10"/>
      <c r="F669" s="11"/>
      <c r="G669" s="8"/>
      <c r="H669" s="8"/>
      <c r="I669" s="8"/>
      <c r="J669" s="8"/>
    </row>
    <row r="670" spans="1:10" x14ac:dyDescent="0.3">
      <c r="A670" s="7"/>
      <c r="B670" s="8"/>
      <c r="C670" s="8"/>
      <c r="D670" s="9"/>
      <c r="E670" s="10"/>
      <c r="F670" s="11"/>
      <c r="G670" s="8"/>
      <c r="H670" s="8"/>
      <c r="I670" s="8"/>
      <c r="J670" s="8"/>
    </row>
    <row r="671" spans="1:10" x14ac:dyDescent="0.3">
      <c r="A671" s="7"/>
      <c r="B671" s="8"/>
      <c r="C671" s="8"/>
      <c r="D671" s="9"/>
      <c r="E671" s="10"/>
      <c r="F671" s="11"/>
      <c r="G671" s="8"/>
      <c r="H671" s="8"/>
      <c r="I671" s="8"/>
      <c r="J671" s="8"/>
    </row>
    <row r="672" spans="1:10" x14ac:dyDescent="0.3">
      <c r="A672" s="7"/>
      <c r="B672" s="8"/>
      <c r="C672" s="8"/>
      <c r="D672" s="9"/>
      <c r="E672" s="10"/>
      <c r="F672" s="11"/>
      <c r="G672" s="8"/>
      <c r="H672" s="8"/>
      <c r="I672" s="8"/>
      <c r="J672" s="8"/>
    </row>
    <row r="673" spans="1:10" x14ac:dyDescent="0.3">
      <c r="A673" s="7"/>
      <c r="B673" s="8"/>
      <c r="C673" s="8"/>
      <c r="D673" s="9"/>
      <c r="E673" s="10"/>
      <c r="F673" s="11"/>
      <c r="G673" s="8"/>
      <c r="H673" s="8"/>
      <c r="I673" s="8"/>
      <c r="J673" s="8"/>
    </row>
    <row r="674" spans="1:10" x14ac:dyDescent="0.3">
      <c r="A674" s="7"/>
      <c r="B674" s="8"/>
      <c r="C674" s="8"/>
      <c r="D674" s="9"/>
      <c r="E674" s="10"/>
      <c r="F674" s="11"/>
      <c r="G674" s="8"/>
      <c r="H674" s="8"/>
      <c r="I674" s="8"/>
      <c r="J674" s="8"/>
    </row>
    <row r="675" spans="1:10" x14ac:dyDescent="0.3">
      <c r="A675" s="7"/>
      <c r="B675" s="8"/>
      <c r="C675" s="8"/>
      <c r="D675" s="9"/>
      <c r="E675" s="10"/>
      <c r="F675" s="11"/>
      <c r="G675" s="8"/>
      <c r="H675" s="8"/>
      <c r="I675" s="8"/>
      <c r="J675" s="8"/>
    </row>
    <row r="676" spans="1:10" x14ac:dyDescent="0.3">
      <c r="A676" s="7"/>
      <c r="B676" s="8"/>
      <c r="C676" s="8"/>
      <c r="D676" s="9"/>
      <c r="E676" s="10"/>
      <c r="F676" s="11"/>
      <c r="G676" s="8"/>
      <c r="H676" s="8"/>
      <c r="I676" s="8"/>
      <c r="J676" s="8"/>
    </row>
    <row r="677" spans="1:10" x14ac:dyDescent="0.3">
      <c r="A677" s="7"/>
      <c r="B677" s="8"/>
      <c r="C677" s="8"/>
      <c r="D677" s="9"/>
      <c r="E677" s="10"/>
      <c r="F677" s="11"/>
      <c r="G677" s="8"/>
      <c r="H677" s="8"/>
      <c r="I677" s="8"/>
      <c r="J677" s="8"/>
    </row>
    <row r="678" spans="1:10" x14ac:dyDescent="0.3">
      <c r="A678" s="7"/>
      <c r="B678" s="8"/>
      <c r="C678" s="8"/>
      <c r="D678" s="9"/>
      <c r="E678" s="10"/>
      <c r="F678" s="11"/>
      <c r="G678" s="8"/>
      <c r="H678" s="8"/>
      <c r="I678" s="8"/>
      <c r="J678" s="8"/>
    </row>
    <row r="679" spans="1:10" x14ac:dyDescent="0.3">
      <c r="A679" s="7"/>
      <c r="B679" s="8"/>
      <c r="C679" s="8"/>
      <c r="D679" s="9"/>
      <c r="E679" s="10"/>
      <c r="F679" s="11"/>
      <c r="G679" s="8"/>
      <c r="H679" s="8"/>
      <c r="I679" s="8"/>
      <c r="J679" s="8"/>
    </row>
    <row r="680" spans="1:10" x14ac:dyDescent="0.3">
      <c r="A680" s="7"/>
      <c r="B680" s="8"/>
      <c r="C680" s="8"/>
      <c r="D680" s="9"/>
      <c r="E680" s="10"/>
      <c r="F680" s="11"/>
      <c r="G680" s="8"/>
      <c r="H680" s="8"/>
      <c r="I680" s="8"/>
      <c r="J680" s="8"/>
    </row>
    <row r="681" spans="1:10" x14ac:dyDescent="0.3">
      <c r="A681" s="7"/>
      <c r="B681" s="8"/>
      <c r="C681" s="8"/>
      <c r="D681" s="9"/>
      <c r="E681" s="10"/>
      <c r="F681" s="11"/>
      <c r="G681" s="8"/>
      <c r="H681" s="8"/>
      <c r="I681" s="8"/>
      <c r="J681" s="8"/>
    </row>
    <row r="682" spans="1:10" x14ac:dyDescent="0.3">
      <c r="A682" s="7"/>
      <c r="B682" s="8"/>
      <c r="C682" s="8"/>
      <c r="D682" s="9"/>
      <c r="E682" s="10"/>
      <c r="F682" s="11"/>
      <c r="G682" s="8"/>
      <c r="H682" s="8"/>
      <c r="I682" s="8"/>
      <c r="J682" s="8"/>
    </row>
    <row r="683" spans="1:10" x14ac:dyDescent="0.3">
      <c r="A683" s="7"/>
      <c r="B683" s="8"/>
      <c r="C683" s="8"/>
      <c r="D683" s="9"/>
      <c r="E683" s="10"/>
      <c r="F683" s="11"/>
      <c r="G683" s="8"/>
      <c r="H683" s="8"/>
      <c r="I683" s="8"/>
      <c r="J683" s="8"/>
    </row>
    <row r="684" spans="1:10" x14ac:dyDescent="0.3">
      <c r="A684" s="7"/>
      <c r="B684" s="8"/>
      <c r="C684" s="8"/>
      <c r="D684" s="9"/>
      <c r="E684" s="10"/>
      <c r="F684" s="11"/>
      <c r="G684" s="8"/>
      <c r="H684" s="8"/>
      <c r="I684" s="8"/>
      <c r="J684" s="8"/>
    </row>
    <row r="685" spans="1:10" x14ac:dyDescent="0.3">
      <c r="A685" s="7"/>
      <c r="B685" s="8"/>
      <c r="C685" s="8"/>
      <c r="D685" s="9"/>
      <c r="E685" s="10"/>
      <c r="F685" s="11"/>
      <c r="G685" s="8"/>
      <c r="H685" s="8"/>
      <c r="I685" s="8"/>
      <c r="J685" s="8"/>
    </row>
    <row r="686" spans="1:10" x14ac:dyDescent="0.3">
      <c r="A686" s="7"/>
      <c r="B686" s="8"/>
      <c r="C686" s="8"/>
      <c r="D686" s="9"/>
      <c r="E686" s="10"/>
      <c r="F686" s="11"/>
      <c r="G686" s="8"/>
      <c r="H686" s="8"/>
      <c r="I686" s="8"/>
      <c r="J686" s="8"/>
    </row>
    <row r="687" spans="1:10" x14ac:dyDescent="0.3">
      <c r="A687" s="7"/>
      <c r="B687" s="8"/>
      <c r="C687" s="8"/>
      <c r="D687" s="9"/>
      <c r="E687" s="10"/>
      <c r="F687" s="11"/>
      <c r="G687" s="8"/>
      <c r="H687" s="8"/>
      <c r="I687" s="8"/>
      <c r="J687" s="8"/>
    </row>
    <row r="688" spans="1:10" x14ac:dyDescent="0.3">
      <c r="A688" s="7"/>
      <c r="B688" s="8"/>
      <c r="C688" s="8"/>
      <c r="D688" s="9"/>
      <c r="E688" s="10"/>
      <c r="F688" s="11"/>
      <c r="G688" s="8"/>
      <c r="H688" s="8"/>
      <c r="I688" s="8"/>
      <c r="J688" s="8"/>
    </row>
    <row r="689" spans="1:10" x14ac:dyDescent="0.3">
      <c r="A689" s="7"/>
      <c r="B689" s="8"/>
      <c r="C689" s="8"/>
      <c r="D689" s="9"/>
      <c r="E689" s="10"/>
      <c r="F689" s="11"/>
      <c r="G689" s="8"/>
      <c r="H689" s="8"/>
      <c r="I689" s="8"/>
      <c r="J689" s="8"/>
    </row>
    <row r="690" spans="1:10" x14ac:dyDescent="0.3">
      <c r="A690" s="7"/>
      <c r="B690" s="8"/>
      <c r="C690" s="8"/>
      <c r="D690" s="9"/>
      <c r="E690" s="10"/>
      <c r="F690" s="11"/>
      <c r="G690" s="8"/>
      <c r="H690" s="8"/>
      <c r="I690" s="8"/>
      <c r="J690" s="8"/>
    </row>
    <row r="691" spans="1:10" x14ac:dyDescent="0.3">
      <c r="A691" s="7"/>
      <c r="B691" s="8"/>
      <c r="C691" s="8"/>
      <c r="D691" s="9"/>
      <c r="E691" s="10"/>
      <c r="F691" s="11"/>
      <c r="G691" s="8"/>
      <c r="H691" s="8"/>
      <c r="I691" s="8"/>
      <c r="J691" s="8"/>
    </row>
    <row r="692" spans="1:10" x14ac:dyDescent="0.3">
      <c r="A692" s="7"/>
      <c r="B692" s="8"/>
      <c r="C692" s="8"/>
      <c r="D692" s="9"/>
      <c r="E692" s="10"/>
      <c r="F692" s="11"/>
      <c r="G692" s="8"/>
      <c r="H692" s="8"/>
      <c r="I692" s="8"/>
      <c r="J692" s="8"/>
    </row>
    <row r="693" spans="1:10" x14ac:dyDescent="0.3">
      <c r="A693" s="7"/>
      <c r="B693" s="8"/>
      <c r="C693" s="8"/>
      <c r="D693" s="9"/>
      <c r="E693" s="10"/>
      <c r="F693" s="11"/>
      <c r="G693" s="8"/>
      <c r="H693" s="8"/>
      <c r="I693" s="8"/>
      <c r="J693" s="8"/>
    </row>
    <row r="694" spans="1:10" x14ac:dyDescent="0.3">
      <c r="A694" s="7"/>
      <c r="B694" s="8"/>
      <c r="C694" s="8"/>
      <c r="D694" s="9"/>
      <c r="E694" s="10"/>
      <c r="F694" s="11"/>
      <c r="G694" s="8"/>
      <c r="H694" s="8"/>
      <c r="I694" s="8"/>
      <c r="J694" s="8"/>
    </row>
    <row r="695" spans="1:10" x14ac:dyDescent="0.3">
      <c r="A695" s="7"/>
      <c r="B695" s="8"/>
      <c r="C695" s="8"/>
      <c r="D695" s="9"/>
      <c r="E695" s="10"/>
      <c r="F695" s="11"/>
      <c r="G695" s="8"/>
      <c r="H695" s="8"/>
      <c r="I695" s="8"/>
      <c r="J695" s="8"/>
    </row>
    <row r="696" spans="1:10" x14ac:dyDescent="0.3">
      <c r="A696" s="7"/>
      <c r="B696" s="8"/>
      <c r="C696" s="8"/>
      <c r="D696" s="9"/>
      <c r="E696" s="10"/>
      <c r="F696" s="11"/>
      <c r="G696" s="8"/>
      <c r="H696" s="8"/>
      <c r="I696" s="8"/>
      <c r="J696" s="8"/>
    </row>
    <row r="697" spans="1:10" x14ac:dyDescent="0.3">
      <c r="A697" s="7"/>
      <c r="B697" s="8"/>
      <c r="C697" s="8"/>
      <c r="D697" s="9"/>
      <c r="E697" s="10"/>
      <c r="F697" s="11"/>
      <c r="G697" s="8"/>
      <c r="H697" s="8"/>
      <c r="I697" s="8"/>
      <c r="J697" s="8"/>
    </row>
    <row r="698" spans="1:10" x14ac:dyDescent="0.3">
      <c r="A698" s="7"/>
      <c r="B698" s="8"/>
      <c r="C698" s="8"/>
      <c r="D698" s="9"/>
      <c r="E698" s="10"/>
      <c r="F698" s="11"/>
      <c r="G698" s="8"/>
      <c r="H698" s="8"/>
      <c r="I698" s="8"/>
      <c r="J698" s="8"/>
    </row>
    <row r="699" spans="1:10" x14ac:dyDescent="0.3">
      <c r="A699" s="7"/>
      <c r="B699" s="8"/>
      <c r="C699" s="8"/>
      <c r="D699" s="9"/>
      <c r="E699" s="10"/>
      <c r="F699" s="11"/>
      <c r="G699" s="8"/>
      <c r="H699" s="8"/>
      <c r="I699" s="8"/>
      <c r="J699" s="8"/>
    </row>
    <row r="700" spans="1:10" x14ac:dyDescent="0.3">
      <c r="A700" s="7"/>
      <c r="B700" s="8"/>
      <c r="C700" s="8"/>
      <c r="D700" s="9"/>
      <c r="E700" s="10"/>
      <c r="F700" s="11"/>
      <c r="G700" s="8"/>
      <c r="H700" s="8"/>
      <c r="I700" s="8"/>
      <c r="J700" s="8"/>
    </row>
    <row r="701" spans="1:10" x14ac:dyDescent="0.3">
      <c r="A701" s="7"/>
      <c r="B701" s="8"/>
      <c r="C701" s="8"/>
      <c r="D701" s="9"/>
      <c r="E701" s="10"/>
      <c r="F701" s="11"/>
      <c r="G701" s="8"/>
      <c r="H701" s="8"/>
      <c r="I701" s="8"/>
      <c r="J701" s="8"/>
    </row>
    <row r="702" spans="1:10" x14ac:dyDescent="0.3">
      <c r="A702" s="7"/>
      <c r="B702" s="8"/>
      <c r="C702" s="8"/>
      <c r="D702" s="9"/>
      <c r="E702" s="10"/>
      <c r="F702" s="11"/>
      <c r="G702" s="8"/>
      <c r="H702" s="8"/>
      <c r="I702" s="8"/>
      <c r="J702" s="8"/>
    </row>
    <row r="703" spans="1:10" x14ac:dyDescent="0.3">
      <c r="A703" s="7"/>
      <c r="B703" s="8"/>
      <c r="C703" s="8"/>
      <c r="D703" s="9"/>
      <c r="E703" s="10"/>
      <c r="F703" s="11"/>
      <c r="G703" s="8"/>
      <c r="H703" s="8"/>
      <c r="I703" s="8"/>
      <c r="J703" s="8"/>
    </row>
    <row r="704" spans="1:10" x14ac:dyDescent="0.3">
      <c r="A704" s="7"/>
      <c r="B704" s="8"/>
      <c r="C704" s="8"/>
      <c r="D704" s="9"/>
      <c r="E704" s="10"/>
      <c r="F704" s="11"/>
      <c r="G704" s="8"/>
      <c r="H704" s="8"/>
      <c r="I704" s="8"/>
      <c r="J704" s="8"/>
    </row>
    <row r="705" spans="1:10" x14ac:dyDescent="0.3">
      <c r="A705" s="7"/>
      <c r="B705" s="8"/>
      <c r="C705" s="8"/>
      <c r="D705" s="9"/>
      <c r="E705" s="10"/>
      <c r="F705" s="11"/>
      <c r="G705" s="8"/>
      <c r="H705" s="8"/>
      <c r="I705" s="8"/>
      <c r="J705" s="8"/>
    </row>
    <row r="706" spans="1:10" x14ac:dyDescent="0.3">
      <c r="A706" s="7"/>
      <c r="B706" s="8"/>
      <c r="C706" s="8"/>
      <c r="D706" s="9"/>
      <c r="E706" s="10"/>
      <c r="F706" s="11"/>
      <c r="G706" s="8"/>
      <c r="H706" s="8"/>
      <c r="I706" s="8"/>
      <c r="J706" s="8"/>
    </row>
    <row r="707" spans="1:10" x14ac:dyDescent="0.3">
      <c r="A707" s="7"/>
      <c r="B707" s="8"/>
      <c r="C707" s="8"/>
      <c r="D707" s="9"/>
      <c r="E707" s="10"/>
      <c r="F707" s="11"/>
      <c r="G707" s="8"/>
      <c r="H707" s="8"/>
      <c r="I707" s="8"/>
      <c r="J707" s="8"/>
    </row>
    <row r="708" spans="1:10" x14ac:dyDescent="0.3">
      <c r="A708" s="7"/>
      <c r="B708" s="8"/>
      <c r="C708" s="8"/>
      <c r="D708" s="9"/>
      <c r="E708" s="10"/>
      <c r="F708" s="11"/>
      <c r="G708" s="8"/>
      <c r="H708" s="8"/>
      <c r="I708" s="8"/>
      <c r="J708" s="8"/>
    </row>
    <row r="709" spans="1:10" x14ac:dyDescent="0.3">
      <c r="A709" s="7"/>
      <c r="B709" s="8"/>
      <c r="C709" s="8"/>
      <c r="D709" s="9"/>
      <c r="E709" s="10"/>
      <c r="F709" s="11"/>
      <c r="G709" s="8"/>
      <c r="H709" s="8"/>
      <c r="I709" s="8"/>
      <c r="J709" s="8"/>
    </row>
    <row r="710" spans="1:10" x14ac:dyDescent="0.3">
      <c r="A710" s="7"/>
      <c r="B710" s="8"/>
      <c r="C710" s="8"/>
      <c r="D710" s="9"/>
      <c r="E710" s="10"/>
      <c r="F710" s="11"/>
      <c r="G710" s="8"/>
      <c r="H710" s="8"/>
      <c r="I710" s="8"/>
      <c r="J710" s="8"/>
    </row>
    <row r="711" spans="1:10" x14ac:dyDescent="0.3">
      <c r="A711" s="7"/>
      <c r="B711" s="8"/>
      <c r="C711" s="8"/>
      <c r="D711" s="9"/>
      <c r="E711" s="10"/>
      <c r="F711" s="11"/>
      <c r="G711" s="8"/>
      <c r="H711" s="8"/>
      <c r="I711" s="8"/>
      <c r="J711" s="8"/>
    </row>
    <row r="712" spans="1:10" x14ac:dyDescent="0.3">
      <c r="A712" s="7"/>
      <c r="B712" s="8"/>
      <c r="C712" s="8"/>
      <c r="D712" s="9"/>
      <c r="E712" s="10"/>
      <c r="F712" s="11"/>
      <c r="G712" s="8"/>
      <c r="H712" s="8"/>
      <c r="I712" s="8"/>
      <c r="J712" s="8"/>
    </row>
    <row r="713" spans="1:10" x14ac:dyDescent="0.3">
      <c r="A713" s="7"/>
      <c r="B713" s="8"/>
      <c r="C713" s="8"/>
      <c r="D713" s="9"/>
      <c r="E713" s="10"/>
      <c r="F713" s="11"/>
      <c r="G713" s="8"/>
      <c r="H713" s="8"/>
      <c r="I713" s="8"/>
      <c r="J713" s="8"/>
    </row>
    <row r="714" spans="1:10" x14ac:dyDescent="0.3">
      <c r="A714" s="7"/>
      <c r="B714" s="8"/>
      <c r="C714" s="8"/>
      <c r="D714" s="9"/>
      <c r="E714" s="10"/>
      <c r="F714" s="11"/>
      <c r="G714" s="8"/>
      <c r="H714" s="8"/>
      <c r="I714" s="8"/>
      <c r="J714" s="8"/>
    </row>
    <row r="715" spans="1:10" x14ac:dyDescent="0.3">
      <c r="A715" s="7"/>
      <c r="B715" s="8"/>
      <c r="C715" s="8"/>
      <c r="D715" s="9"/>
      <c r="E715" s="10"/>
      <c r="F715" s="11"/>
      <c r="G715" s="8"/>
      <c r="H715" s="8"/>
      <c r="I715" s="8"/>
      <c r="J715" s="8"/>
    </row>
    <row r="716" spans="1:10" x14ac:dyDescent="0.3">
      <c r="A716" s="7"/>
      <c r="B716" s="8"/>
      <c r="C716" s="8"/>
      <c r="D716" s="9"/>
      <c r="E716" s="10"/>
      <c r="F716" s="11"/>
      <c r="G716" s="8"/>
      <c r="H716" s="8"/>
      <c r="I716" s="8"/>
      <c r="J716" s="8"/>
    </row>
    <row r="717" spans="1:10" x14ac:dyDescent="0.3">
      <c r="A717" s="7"/>
      <c r="B717" s="8"/>
      <c r="C717" s="8"/>
      <c r="D717" s="9"/>
      <c r="E717" s="10"/>
      <c r="F717" s="11"/>
      <c r="G717" s="8"/>
      <c r="H717" s="8"/>
      <c r="I717" s="8"/>
      <c r="J717" s="8"/>
    </row>
    <row r="718" spans="1:10" x14ac:dyDescent="0.3">
      <c r="A718" s="7"/>
      <c r="B718" s="8"/>
      <c r="C718" s="8"/>
      <c r="D718" s="9"/>
      <c r="E718" s="10"/>
      <c r="F718" s="11"/>
      <c r="G718" s="8"/>
      <c r="H718" s="8"/>
      <c r="I718" s="8"/>
      <c r="J718" s="8"/>
    </row>
    <row r="719" spans="1:10" x14ac:dyDescent="0.3">
      <c r="A719" s="7"/>
      <c r="B719" s="8"/>
      <c r="C719" s="8"/>
      <c r="D719" s="9"/>
      <c r="E719" s="10"/>
      <c r="F719" s="11"/>
      <c r="G719" s="8"/>
      <c r="H719" s="8"/>
      <c r="I719" s="8"/>
      <c r="J719" s="8"/>
    </row>
    <row r="720" spans="1:10" x14ac:dyDescent="0.3">
      <c r="A720" s="7"/>
      <c r="B720" s="8"/>
      <c r="C720" s="8"/>
      <c r="D720" s="9"/>
      <c r="E720" s="10"/>
      <c r="F720" s="11"/>
      <c r="G720" s="8"/>
      <c r="H720" s="8"/>
      <c r="I720" s="8"/>
      <c r="J720" s="8"/>
    </row>
    <row r="721" spans="1:10" x14ac:dyDescent="0.3">
      <c r="A721" s="7"/>
      <c r="B721" s="8"/>
      <c r="C721" s="8"/>
      <c r="D721" s="9"/>
      <c r="E721" s="10"/>
      <c r="F721" s="11"/>
      <c r="G721" s="8"/>
      <c r="H721" s="8"/>
      <c r="I721" s="8"/>
      <c r="J721" s="8"/>
    </row>
    <row r="722" spans="1:10" x14ac:dyDescent="0.3">
      <c r="A722" s="7"/>
      <c r="B722" s="8"/>
      <c r="C722" s="8"/>
      <c r="D722" s="9"/>
      <c r="E722" s="10"/>
      <c r="F722" s="11"/>
      <c r="G722" s="8"/>
      <c r="H722" s="8"/>
      <c r="I722" s="8"/>
      <c r="J722" s="8"/>
    </row>
    <row r="723" spans="1:10" x14ac:dyDescent="0.3">
      <c r="A723" s="7"/>
      <c r="B723" s="8"/>
      <c r="C723" s="8"/>
      <c r="D723" s="9"/>
      <c r="E723" s="10"/>
      <c r="F723" s="11"/>
      <c r="G723" s="8"/>
      <c r="H723" s="8"/>
      <c r="I723" s="8"/>
      <c r="J723" s="8"/>
    </row>
    <row r="724" spans="1:10" x14ac:dyDescent="0.3">
      <c r="A724" s="7"/>
      <c r="B724" s="8"/>
      <c r="C724" s="8"/>
      <c r="D724" s="9"/>
      <c r="E724" s="10"/>
      <c r="F724" s="11"/>
      <c r="G724" s="8"/>
      <c r="H724" s="8"/>
      <c r="I724" s="8"/>
      <c r="J724" s="8"/>
    </row>
    <row r="725" spans="1:10" x14ac:dyDescent="0.3">
      <c r="A725" s="7"/>
      <c r="B725" s="8"/>
      <c r="C725" s="8"/>
      <c r="D725" s="9"/>
      <c r="E725" s="10"/>
      <c r="F725" s="11"/>
      <c r="G725" s="8"/>
      <c r="H725" s="8"/>
      <c r="I725" s="8"/>
      <c r="J725" s="8"/>
    </row>
    <row r="726" spans="1:10" x14ac:dyDescent="0.3">
      <c r="A726" s="7"/>
      <c r="B726" s="8"/>
      <c r="C726" s="8"/>
      <c r="D726" s="9"/>
      <c r="E726" s="10"/>
      <c r="F726" s="11"/>
      <c r="G726" s="8"/>
      <c r="H726" s="8"/>
      <c r="I726" s="8"/>
      <c r="J726" s="8"/>
    </row>
    <row r="727" spans="1:10" x14ac:dyDescent="0.3">
      <c r="A727" s="7"/>
      <c r="B727" s="8"/>
      <c r="C727" s="8"/>
      <c r="D727" s="9"/>
      <c r="E727" s="10"/>
      <c r="F727" s="11"/>
      <c r="G727" s="8"/>
      <c r="H727" s="8"/>
      <c r="I727" s="8"/>
      <c r="J727" s="8"/>
    </row>
    <row r="728" spans="1:10" x14ac:dyDescent="0.3">
      <c r="A728" s="7"/>
      <c r="B728" s="8"/>
      <c r="C728" s="8"/>
      <c r="D728" s="9"/>
      <c r="E728" s="10"/>
      <c r="F728" s="11"/>
      <c r="G728" s="8"/>
      <c r="H728" s="8"/>
      <c r="I728" s="8"/>
      <c r="J728" s="8"/>
    </row>
    <row r="729" spans="1:10" x14ac:dyDescent="0.3">
      <c r="A729" s="7"/>
      <c r="B729" s="8"/>
      <c r="C729" s="8"/>
      <c r="D729" s="9"/>
      <c r="E729" s="10"/>
      <c r="F729" s="11"/>
      <c r="G729" s="8"/>
      <c r="H729" s="8"/>
      <c r="I729" s="8"/>
      <c r="J729" s="8"/>
    </row>
    <row r="730" spans="1:10" x14ac:dyDescent="0.3">
      <c r="A730" s="7"/>
      <c r="B730" s="8"/>
      <c r="C730" s="8"/>
      <c r="D730" s="9"/>
      <c r="E730" s="10"/>
      <c r="F730" s="11"/>
      <c r="G730" s="8"/>
      <c r="H730" s="8"/>
      <c r="I730" s="8"/>
      <c r="J730" s="8"/>
    </row>
    <row r="731" spans="1:10" x14ac:dyDescent="0.3">
      <c r="A731" s="7"/>
      <c r="B731" s="8"/>
      <c r="C731" s="8"/>
      <c r="D731" s="9"/>
      <c r="E731" s="10"/>
      <c r="F731" s="11"/>
      <c r="G731" s="8"/>
      <c r="H731" s="8"/>
      <c r="I731" s="8"/>
      <c r="J731" s="8"/>
    </row>
    <row r="732" spans="1:10" x14ac:dyDescent="0.3">
      <c r="A732" s="7"/>
      <c r="B732" s="8"/>
      <c r="C732" s="8"/>
      <c r="D732" s="9"/>
      <c r="E732" s="10"/>
      <c r="F732" s="11"/>
      <c r="G732" s="8"/>
      <c r="H732" s="8"/>
      <c r="I732" s="8"/>
      <c r="J732" s="8"/>
    </row>
    <row r="733" spans="1:10" x14ac:dyDescent="0.3">
      <c r="A733" s="7"/>
      <c r="B733" s="8"/>
      <c r="C733" s="8"/>
      <c r="D733" s="9"/>
      <c r="E733" s="10"/>
      <c r="F733" s="11"/>
      <c r="G733" s="8"/>
      <c r="H733" s="8"/>
      <c r="I733" s="8"/>
      <c r="J733" s="8"/>
    </row>
    <row r="734" spans="1:10" x14ac:dyDescent="0.3">
      <c r="A734" s="7"/>
      <c r="B734" s="8"/>
      <c r="C734" s="8"/>
      <c r="D734" s="9"/>
      <c r="E734" s="10"/>
      <c r="F734" s="11"/>
      <c r="G734" s="8"/>
      <c r="H734" s="8"/>
      <c r="I734" s="8"/>
      <c r="J734" s="8"/>
    </row>
    <row r="735" spans="1:10" x14ac:dyDescent="0.3">
      <c r="A735" s="7"/>
      <c r="B735" s="8"/>
      <c r="C735" s="8"/>
      <c r="D735" s="9"/>
      <c r="E735" s="10"/>
      <c r="F735" s="11"/>
      <c r="G735" s="8"/>
      <c r="H735" s="8"/>
      <c r="I735" s="8"/>
      <c r="J735" s="8"/>
    </row>
    <row r="736" spans="1:10" x14ac:dyDescent="0.3">
      <c r="A736" s="7"/>
      <c r="B736" s="8"/>
      <c r="C736" s="8"/>
      <c r="D736" s="9"/>
      <c r="E736" s="10"/>
      <c r="F736" s="11"/>
      <c r="G736" s="8"/>
      <c r="H736" s="8"/>
      <c r="I736" s="8"/>
      <c r="J736" s="8"/>
    </row>
    <row r="737" spans="1:10" x14ac:dyDescent="0.3">
      <c r="A737" s="7"/>
      <c r="B737" s="8"/>
      <c r="C737" s="8"/>
      <c r="D737" s="9"/>
      <c r="E737" s="10"/>
      <c r="F737" s="11"/>
      <c r="G737" s="8"/>
      <c r="H737" s="8"/>
      <c r="I737" s="8"/>
      <c r="J737" s="8"/>
    </row>
    <row r="738" spans="1:10" x14ac:dyDescent="0.3">
      <c r="A738" s="7"/>
      <c r="B738" s="8"/>
      <c r="C738" s="8"/>
      <c r="D738" s="9"/>
      <c r="E738" s="10"/>
      <c r="F738" s="11"/>
      <c r="G738" s="8"/>
      <c r="H738" s="8"/>
      <c r="I738" s="8"/>
      <c r="J738" s="8"/>
    </row>
    <row r="739" spans="1:10" x14ac:dyDescent="0.3">
      <c r="A739" s="7"/>
      <c r="B739" s="8"/>
      <c r="C739" s="8"/>
      <c r="D739" s="9"/>
      <c r="E739" s="10"/>
      <c r="F739" s="11"/>
      <c r="G739" s="8"/>
      <c r="H739" s="8"/>
      <c r="I739" s="8"/>
      <c r="J739" s="8"/>
    </row>
    <row r="740" spans="1:10" x14ac:dyDescent="0.3">
      <c r="A740" s="7"/>
      <c r="B740" s="8"/>
      <c r="C740" s="8"/>
      <c r="D740" s="9"/>
      <c r="E740" s="10"/>
      <c r="F740" s="11"/>
      <c r="G740" s="8"/>
      <c r="H740" s="8"/>
      <c r="I740" s="8"/>
      <c r="J740" s="8"/>
    </row>
    <row r="741" spans="1:10" x14ac:dyDescent="0.3">
      <c r="A741" s="7"/>
      <c r="B741" s="8"/>
      <c r="C741" s="8"/>
      <c r="D741" s="9"/>
      <c r="E741" s="10"/>
      <c r="F741" s="11"/>
      <c r="G741" s="8"/>
      <c r="H741" s="8"/>
      <c r="I741" s="8"/>
      <c r="J741" s="8"/>
    </row>
    <row r="742" spans="1:10" x14ac:dyDescent="0.3">
      <c r="A742" s="7"/>
      <c r="B742" s="8"/>
      <c r="C742" s="8"/>
      <c r="D742" s="9"/>
      <c r="E742" s="10"/>
      <c r="F742" s="11"/>
      <c r="G742" s="8"/>
      <c r="H742" s="8"/>
      <c r="I742" s="8"/>
      <c r="J742" s="8"/>
    </row>
    <row r="743" spans="1:10" x14ac:dyDescent="0.3">
      <c r="A743" s="7"/>
      <c r="B743" s="8"/>
      <c r="C743" s="8"/>
      <c r="D743" s="9"/>
      <c r="E743" s="10"/>
      <c r="F743" s="11"/>
      <c r="G743" s="8"/>
      <c r="H743" s="8"/>
      <c r="I743" s="8"/>
      <c r="J743" s="8"/>
    </row>
    <row r="744" spans="1:10" x14ac:dyDescent="0.3">
      <c r="A744" s="7"/>
      <c r="B744" s="8"/>
      <c r="C744" s="8"/>
      <c r="D744" s="9"/>
      <c r="E744" s="10"/>
      <c r="F744" s="11"/>
      <c r="G744" s="8"/>
      <c r="H744" s="8"/>
      <c r="I744" s="8"/>
      <c r="J744" s="8"/>
    </row>
    <row r="745" spans="1:10" x14ac:dyDescent="0.3">
      <c r="A745" s="7"/>
      <c r="B745" s="8"/>
      <c r="C745" s="8"/>
      <c r="D745" s="9"/>
      <c r="E745" s="10"/>
      <c r="F745" s="11"/>
      <c r="G745" s="8"/>
      <c r="H745" s="8"/>
      <c r="I745" s="8"/>
      <c r="J745" s="8"/>
    </row>
    <row r="746" spans="1:10" x14ac:dyDescent="0.3">
      <c r="A746" s="7"/>
      <c r="B746" s="8"/>
      <c r="C746" s="8"/>
      <c r="D746" s="9"/>
      <c r="E746" s="10"/>
      <c r="F746" s="11"/>
      <c r="G746" s="8"/>
      <c r="H746" s="8"/>
      <c r="I746" s="8"/>
      <c r="J746" s="8"/>
    </row>
    <row r="747" spans="1:10" x14ac:dyDescent="0.3">
      <c r="A747" s="7"/>
      <c r="B747" s="8"/>
      <c r="C747" s="8"/>
      <c r="D747" s="9"/>
      <c r="E747" s="10"/>
      <c r="F747" s="11"/>
      <c r="G747" s="8"/>
      <c r="H747" s="8"/>
      <c r="I747" s="8"/>
      <c r="J747" s="8"/>
    </row>
    <row r="748" spans="1:10" x14ac:dyDescent="0.3">
      <c r="A748" s="7"/>
      <c r="B748" s="8"/>
      <c r="C748" s="8"/>
      <c r="D748" s="9"/>
      <c r="E748" s="10"/>
      <c r="F748" s="11"/>
      <c r="G748" s="8"/>
      <c r="H748" s="8"/>
      <c r="I748" s="8"/>
      <c r="J748" s="8"/>
    </row>
    <row r="749" spans="1:10" x14ac:dyDescent="0.3">
      <c r="A749" s="7"/>
      <c r="B749" s="8"/>
      <c r="C749" s="8"/>
      <c r="D749" s="9"/>
      <c r="E749" s="10"/>
      <c r="F749" s="11"/>
      <c r="G749" s="8"/>
      <c r="H749" s="8"/>
      <c r="I749" s="8"/>
      <c r="J749" s="8"/>
    </row>
    <row r="750" spans="1:10" x14ac:dyDescent="0.3">
      <c r="A750" s="7"/>
      <c r="B750" s="8"/>
      <c r="C750" s="8"/>
      <c r="D750" s="9"/>
      <c r="E750" s="10"/>
      <c r="F750" s="11"/>
      <c r="G750" s="8"/>
      <c r="H750" s="8"/>
      <c r="I750" s="8"/>
      <c r="J750" s="8"/>
    </row>
    <row r="751" spans="1:10" x14ac:dyDescent="0.3">
      <c r="A751" s="7"/>
      <c r="B751" s="8"/>
      <c r="C751" s="8"/>
      <c r="D751" s="9"/>
      <c r="E751" s="10"/>
      <c r="F751" s="11"/>
      <c r="G751" s="8"/>
      <c r="H751" s="8"/>
      <c r="I751" s="8"/>
      <c r="J751" s="8"/>
    </row>
    <row r="752" spans="1:10" x14ac:dyDescent="0.3">
      <c r="A752" s="7"/>
      <c r="B752" s="8"/>
      <c r="C752" s="8"/>
      <c r="D752" s="9"/>
      <c r="E752" s="10"/>
      <c r="F752" s="11"/>
      <c r="G752" s="8"/>
      <c r="H752" s="8"/>
      <c r="I752" s="8"/>
      <c r="J752" s="8"/>
    </row>
    <row r="753" spans="1:10" x14ac:dyDescent="0.3">
      <c r="A753" s="7"/>
      <c r="B753" s="8"/>
      <c r="C753" s="8"/>
      <c r="D753" s="9"/>
      <c r="E753" s="10"/>
      <c r="F753" s="11"/>
      <c r="G753" s="8"/>
      <c r="H753" s="8"/>
      <c r="I753" s="8"/>
      <c r="J753" s="8"/>
    </row>
    <row r="754" spans="1:10" x14ac:dyDescent="0.3">
      <c r="A754" s="7"/>
      <c r="B754" s="8"/>
      <c r="C754" s="8"/>
      <c r="D754" s="9"/>
      <c r="E754" s="10"/>
      <c r="F754" s="11"/>
      <c r="G754" s="8"/>
      <c r="H754" s="8"/>
      <c r="I754" s="8"/>
      <c r="J754" s="8"/>
    </row>
    <row r="755" spans="1:10" x14ac:dyDescent="0.3">
      <c r="A755" s="7"/>
      <c r="B755" s="8"/>
      <c r="C755" s="8"/>
      <c r="D755" s="9"/>
      <c r="E755" s="10"/>
      <c r="F755" s="11"/>
      <c r="G755" s="8"/>
      <c r="H755" s="8"/>
      <c r="I755" s="8"/>
      <c r="J755" s="8"/>
    </row>
    <row r="756" spans="1:10" x14ac:dyDescent="0.3">
      <c r="A756" s="7"/>
      <c r="B756" s="8"/>
      <c r="C756" s="8"/>
      <c r="D756" s="9"/>
      <c r="E756" s="10"/>
      <c r="F756" s="11"/>
      <c r="G756" s="8"/>
      <c r="H756" s="8"/>
      <c r="I756" s="8"/>
      <c r="J756" s="8"/>
    </row>
    <row r="757" spans="1:10" x14ac:dyDescent="0.3">
      <c r="A757" s="7"/>
      <c r="B757" s="8"/>
      <c r="C757" s="8"/>
      <c r="D757" s="9"/>
      <c r="E757" s="10"/>
      <c r="F757" s="11"/>
      <c r="G757" s="8"/>
      <c r="H757" s="8"/>
      <c r="I757" s="8"/>
      <c r="J757" s="8"/>
    </row>
    <row r="758" spans="1:10" x14ac:dyDescent="0.3">
      <c r="A758" s="7"/>
      <c r="B758" s="8"/>
      <c r="C758" s="8"/>
      <c r="D758" s="9"/>
      <c r="E758" s="10"/>
      <c r="F758" s="11"/>
      <c r="G758" s="8"/>
      <c r="H758" s="8"/>
      <c r="I758" s="8"/>
      <c r="J758" s="8"/>
    </row>
    <row r="759" spans="1:10" x14ac:dyDescent="0.3">
      <c r="A759" s="7"/>
      <c r="B759" s="8"/>
      <c r="C759" s="8"/>
      <c r="D759" s="9"/>
      <c r="E759" s="10"/>
      <c r="F759" s="11"/>
      <c r="G759" s="8"/>
      <c r="H759" s="8"/>
      <c r="I759" s="8"/>
      <c r="J759" s="8"/>
    </row>
    <row r="760" spans="1:10" x14ac:dyDescent="0.3">
      <c r="A760" s="7"/>
      <c r="B760" s="8"/>
      <c r="C760" s="8"/>
      <c r="D760" s="9"/>
      <c r="E760" s="10"/>
      <c r="F760" s="11"/>
      <c r="G760" s="8"/>
      <c r="H760" s="8"/>
      <c r="I760" s="8"/>
      <c r="J760" s="8"/>
    </row>
    <row r="761" spans="1:10" x14ac:dyDescent="0.3">
      <c r="A761" s="7"/>
      <c r="B761" s="8"/>
      <c r="C761" s="8"/>
      <c r="D761" s="9"/>
      <c r="E761" s="10"/>
      <c r="F761" s="11"/>
      <c r="G761" s="8"/>
      <c r="H761" s="8"/>
      <c r="I761" s="8"/>
      <c r="J761" s="8"/>
    </row>
    <row r="762" spans="1:10" x14ac:dyDescent="0.3">
      <c r="A762" s="7"/>
      <c r="B762" s="8"/>
      <c r="C762" s="8"/>
      <c r="D762" s="9"/>
      <c r="E762" s="10"/>
      <c r="F762" s="11"/>
      <c r="G762" s="8"/>
      <c r="H762" s="8"/>
      <c r="I762" s="8"/>
      <c r="J762" s="8"/>
    </row>
    <row r="763" spans="1:10" x14ac:dyDescent="0.3">
      <c r="A763" s="7"/>
      <c r="B763" s="8"/>
      <c r="C763" s="8"/>
      <c r="D763" s="9"/>
      <c r="E763" s="10"/>
      <c r="F763" s="11"/>
      <c r="G763" s="8"/>
      <c r="H763" s="8"/>
      <c r="I763" s="8"/>
      <c r="J763" s="8"/>
    </row>
    <row r="764" spans="1:10" x14ac:dyDescent="0.3">
      <c r="A764" s="7"/>
      <c r="B764" s="8"/>
      <c r="C764" s="8"/>
      <c r="D764" s="9"/>
      <c r="E764" s="10"/>
      <c r="F764" s="11"/>
      <c r="G764" s="8"/>
      <c r="H764" s="8"/>
      <c r="I764" s="8"/>
      <c r="J764" s="8"/>
    </row>
    <row r="765" spans="1:10" x14ac:dyDescent="0.3">
      <c r="A765" s="7"/>
      <c r="B765" s="8"/>
      <c r="C765" s="8"/>
      <c r="D765" s="9"/>
      <c r="E765" s="10"/>
      <c r="F765" s="11"/>
      <c r="G765" s="8"/>
      <c r="H765" s="8"/>
      <c r="I765" s="8"/>
      <c r="J765" s="8"/>
    </row>
    <row r="766" spans="1:10" x14ac:dyDescent="0.3">
      <c r="A766" s="7"/>
      <c r="B766" s="8"/>
      <c r="C766" s="8"/>
      <c r="D766" s="9"/>
      <c r="E766" s="10"/>
      <c r="F766" s="11"/>
      <c r="G766" s="8"/>
      <c r="H766" s="8"/>
      <c r="I766" s="8"/>
      <c r="J766" s="8"/>
    </row>
    <row r="767" spans="1:10" x14ac:dyDescent="0.3">
      <c r="A767" s="7"/>
      <c r="B767" s="8"/>
      <c r="C767" s="8"/>
      <c r="D767" s="9"/>
      <c r="E767" s="10"/>
      <c r="F767" s="11"/>
      <c r="G767" s="8"/>
      <c r="H767" s="8"/>
      <c r="I767" s="8"/>
      <c r="J767" s="8"/>
    </row>
    <row r="768" spans="1:10" x14ac:dyDescent="0.3">
      <c r="A768" s="7"/>
      <c r="B768" s="8"/>
      <c r="C768" s="8"/>
      <c r="D768" s="9"/>
      <c r="E768" s="10"/>
      <c r="F768" s="11"/>
      <c r="G768" s="8"/>
      <c r="H768" s="8"/>
      <c r="I768" s="8"/>
      <c r="J768" s="8"/>
    </row>
    <row r="769" spans="1:10" x14ac:dyDescent="0.3">
      <c r="A769" s="7"/>
      <c r="B769" s="8"/>
      <c r="C769" s="8"/>
      <c r="D769" s="9"/>
      <c r="E769" s="10"/>
      <c r="F769" s="11"/>
      <c r="G769" s="8"/>
      <c r="H769" s="8"/>
      <c r="I769" s="8"/>
      <c r="J769" s="8"/>
    </row>
    <row r="770" spans="1:10" x14ac:dyDescent="0.3">
      <c r="A770" s="7"/>
      <c r="B770" s="8"/>
      <c r="C770" s="8"/>
      <c r="D770" s="9"/>
      <c r="E770" s="10"/>
      <c r="F770" s="11"/>
      <c r="G770" s="8"/>
      <c r="H770" s="8"/>
      <c r="I770" s="8"/>
      <c r="J770" s="8"/>
    </row>
    <row r="771" spans="1:10" x14ac:dyDescent="0.3">
      <c r="A771" s="7"/>
      <c r="B771" s="8"/>
      <c r="C771" s="8"/>
      <c r="D771" s="9"/>
      <c r="E771" s="10"/>
      <c r="F771" s="11"/>
      <c r="G771" s="8"/>
      <c r="H771" s="8"/>
      <c r="I771" s="8"/>
      <c r="J771" s="8"/>
    </row>
    <row r="772" spans="1:10" x14ac:dyDescent="0.3">
      <c r="A772" s="7"/>
      <c r="B772" s="8"/>
      <c r="C772" s="8"/>
      <c r="D772" s="9"/>
      <c r="E772" s="10"/>
      <c r="F772" s="11"/>
      <c r="G772" s="8"/>
      <c r="H772" s="8"/>
      <c r="I772" s="8"/>
      <c r="J772" s="8"/>
    </row>
    <row r="773" spans="1:10" x14ac:dyDescent="0.3">
      <c r="A773" s="7"/>
      <c r="B773" s="8"/>
      <c r="C773" s="8"/>
      <c r="D773" s="9"/>
      <c r="E773" s="10"/>
      <c r="F773" s="11"/>
      <c r="G773" s="8"/>
      <c r="H773" s="8"/>
      <c r="I773" s="8"/>
      <c r="J773" s="8"/>
    </row>
    <row r="774" spans="1:10" x14ac:dyDescent="0.3">
      <c r="A774" s="7"/>
      <c r="B774" s="8"/>
      <c r="C774" s="8"/>
      <c r="D774" s="9"/>
      <c r="E774" s="10"/>
      <c r="F774" s="11"/>
      <c r="G774" s="8"/>
      <c r="H774" s="8"/>
      <c r="I774" s="8"/>
      <c r="J774" s="8"/>
    </row>
    <row r="775" spans="1:10" x14ac:dyDescent="0.3">
      <c r="A775" s="7"/>
      <c r="B775" s="8"/>
      <c r="C775" s="8"/>
      <c r="D775" s="9"/>
      <c r="E775" s="10"/>
      <c r="F775" s="11"/>
      <c r="G775" s="8"/>
      <c r="H775" s="8"/>
      <c r="I775" s="8"/>
      <c r="J775" s="8"/>
    </row>
    <row r="776" spans="1:10" x14ac:dyDescent="0.3">
      <c r="A776" s="7"/>
      <c r="B776" s="8"/>
      <c r="C776" s="8"/>
      <c r="D776" s="9"/>
      <c r="E776" s="10"/>
      <c r="F776" s="11"/>
      <c r="G776" s="8"/>
      <c r="H776" s="8"/>
      <c r="I776" s="8"/>
      <c r="J776" s="8"/>
    </row>
    <row r="777" spans="1:10" x14ac:dyDescent="0.3">
      <c r="A777" s="7"/>
      <c r="B777" s="8"/>
      <c r="C777" s="8"/>
      <c r="D777" s="9"/>
      <c r="E777" s="10"/>
      <c r="F777" s="11"/>
      <c r="G777" s="8"/>
      <c r="H777" s="8"/>
      <c r="I777" s="8"/>
      <c r="J777" s="8"/>
    </row>
    <row r="778" spans="1:10" x14ac:dyDescent="0.3">
      <c r="A778" s="7"/>
      <c r="B778" s="8"/>
      <c r="C778" s="8"/>
      <c r="D778" s="9"/>
      <c r="E778" s="10"/>
      <c r="F778" s="11"/>
      <c r="G778" s="8"/>
      <c r="H778" s="8"/>
      <c r="I778" s="8"/>
      <c r="J778" s="8"/>
    </row>
    <row r="779" spans="1:10" x14ac:dyDescent="0.3">
      <c r="A779" s="7"/>
      <c r="B779" s="8"/>
      <c r="C779" s="8"/>
      <c r="D779" s="9"/>
      <c r="E779" s="10"/>
      <c r="F779" s="11"/>
      <c r="G779" s="8"/>
      <c r="H779" s="8"/>
      <c r="I779" s="8"/>
      <c r="J779" s="8"/>
    </row>
    <row r="780" spans="1:10" x14ac:dyDescent="0.3">
      <c r="A780" s="7"/>
      <c r="B780" s="8"/>
      <c r="C780" s="8"/>
      <c r="D780" s="9"/>
      <c r="E780" s="10"/>
      <c r="F780" s="11"/>
      <c r="G780" s="8"/>
      <c r="H780" s="8"/>
      <c r="I780" s="8"/>
      <c r="J780" s="8"/>
    </row>
    <row r="781" spans="1:10" x14ac:dyDescent="0.3">
      <c r="A781" s="7"/>
      <c r="B781" s="8"/>
      <c r="C781" s="8"/>
      <c r="D781" s="9"/>
      <c r="E781" s="10"/>
      <c r="F781" s="11"/>
      <c r="G781" s="8"/>
      <c r="H781" s="8"/>
      <c r="I781" s="8"/>
      <c r="J781" s="8"/>
    </row>
    <row r="782" spans="1:10" x14ac:dyDescent="0.3">
      <c r="A782" s="7"/>
      <c r="B782" s="8"/>
      <c r="C782" s="8"/>
      <c r="D782" s="9"/>
      <c r="E782" s="10"/>
      <c r="F782" s="11"/>
      <c r="G782" s="8"/>
      <c r="H782" s="8"/>
      <c r="I782" s="8"/>
      <c r="J782" s="8"/>
    </row>
    <row r="783" spans="1:10" x14ac:dyDescent="0.3">
      <c r="A783" s="7"/>
      <c r="B783" s="8"/>
      <c r="C783" s="8"/>
      <c r="D783" s="9"/>
      <c r="E783" s="10"/>
      <c r="F783" s="11"/>
      <c r="G783" s="8"/>
      <c r="H783" s="8"/>
      <c r="I783" s="8"/>
      <c r="J783" s="8"/>
    </row>
    <row r="784" spans="1:10" x14ac:dyDescent="0.3">
      <c r="A784" s="7"/>
      <c r="B784" s="8"/>
      <c r="C784" s="8"/>
      <c r="D784" s="9"/>
      <c r="E784" s="10"/>
      <c r="F784" s="11"/>
      <c r="G784" s="8"/>
      <c r="H784" s="8"/>
      <c r="I784" s="8"/>
      <c r="J784" s="8"/>
    </row>
    <row r="785" spans="1:10" x14ac:dyDescent="0.3">
      <c r="A785" s="7"/>
      <c r="B785" s="8"/>
      <c r="C785" s="8"/>
      <c r="D785" s="9"/>
      <c r="E785" s="10"/>
      <c r="F785" s="11"/>
      <c r="G785" s="8"/>
      <c r="H785" s="8"/>
      <c r="I785" s="8"/>
      <c r="J785" s="8"/>
    </row>
    <row r="786" spans="1:10" x14ac:dyDescent="0.3">
      <c r="A786" s="7"/>
      <c r="B786" s="8"/>
      <c r="C786" s="8"/>
      <c r="D786" s="9"/>
      <c r="E786" s="10"/>
      <c r="F786" s="11"/>
      <c r="G786" s="8"/>
      <c r="H786" s="8"/>
      <c r="I786" s="8"/>
      <c r="J786" s="8"/>
    </row>
    <row r="787" spans="1:10" x14ac:dyDescent="0.3">
      <c r="A787" s="7"/>
      <c r="B787" s="8"/>
      <c r="C787" s="8"/>
      <c r="D787" s="9"/>
      <c r="E787" s="10"/>
      <c r="F787" s="11"/>
      <c r="G787" s="8"/>
      <c r="H787" s="8"/>
      <c r="I787" s="8"/>
      <c r="J787" s="8"/>
    </row>
    <row r="788" spans="1:10" x14ac:dyDescent="0.3">
      <c r="A788" s="7"/>
      <c r="B788" s="8"/>
      <c r="C788" s="8"/>
      <c r="D788" s="9"/>
      <c r="E788" s="10"/>
      <c r="F788" s="11"/>
      <c r="G788" s="8"/>
      <c r="H788" s="8"/>
      <c r="I788" s="8"/>
      <c r="J788" s="8"/>
    </row>
    <row r="789" spans="1:10" x14ac:dyDescent="0.3">
      <c r="A789" s="7"/>
      <c r="B789" s="8"/>
      <c r="C789" s="8"/>
      <c r="D789" s="9"/>
      <c r="E789" s="10"/>
      <c r="F789" s="11"/>
      <c r="G789" s="8"/>
      <c r="H789" s="8"/>
      <c r="I789" s="8"/>
      <c r="J789" s="8"/>
    </row>
    <row r="790" spans="1:10" x14ac:dyDescent="0.3">
      <c r="A790" s="7"/>
      <c r="B790" s="8"/>
      <c r="C790" s="8"/>
      <c r="D790" s="9"/>
      <c r="E790" s="10"/>
      <c r="F790" s="11"/>
      <c r="G790" s="8"/>
      <c r="H790" s="8"/>
      <c r="I790" s="8"/>
      <c r="J790" s="8"/>
    </row>
    <row r="791" spans="1:10" x14ac:dyDescent="0.3">
      <c r="A791" s="7"/>
      <c r="B791" s="8"/>
      <c r="C791" s="8"/>
      <c r="D791" s="9"/>
      <c r="E791" s="10"/>
      <c r="F791" s="11"/>
      <c r="G791" s="8"/>
      <c r="H791" s="8"/>
      <c r="I791" s="8"/>
      <c r="J791" s="8"/>
    </row>
    <row r="792" spans="1:10" x14ac:dyDescent="0.3">
      <c r="A792" s="7"/>
      <c r="B792" s="8"/>
      <c r="C792" s="8"/>
      <c r="D792" s="9"/>
      <c r="E792" s="10"/>
      <c r="F792" s="11"/>
      <c r="G792" s="8"/>
      <c r="H792" s="8"/>
      <c r="I792" s="8"/>
      <c r="J792" s="8"/>
    </row>
    <row r="793" spans="1:10" x14ac:dyDescent="0.3">
      <c r="A793" s="7"/>
      <c r="B793" s="8"/>
      <c r="C793" s="8"/>
      <c r="D793" s="9"/>
      <c r="E793" s="10"/>
      <c r="F793" s="11"/>
      <c r="G793" s="8"/>
      <c r="H793" s="8"/>
      <c r="I793" s="8"/>
      <c r="J793" s="8"/>
    </row>
    <row r="794" spans="1:10" x14ac:dyDescent="0.3">
      <c r="A794" s="7"/>
      <c r="B794" s="8"/>
      <c r="C794" s="8"/>
      <c r="D794" s="9"/>
      <c r="E794" s="10"/>
      <c r="F794" s="11"/>
      <c r="G794" s="8"/>
      <c r="H794" s="8"/>
      <c r="I794" s="8"/>
      <c r="J794" s="8"/>
    </row>
    <row r="795" spans="1:10" x14ac:dyDescent="0.3">
      <c r="A795" s="7"/>
      <c r="B795" s="8"/>
      <c r="C795" s="8"/>
      <c r="D795" s="9"/>
      <c r="E795" s="10"/>
      <c r="F795" s="11"/>
      <c r="G795" s="8"/>
      <c r="H795" s="8"/>
      <c r="I795" s="8"/>
      <c r="J795" s="8"/>
    </row>
    <row r="796" spans="1:10" x14ac:dyDescent="0.3">
      <c r="A796" s="7"/>
      <c r="B796" s="8"/>
      <c r="C796" s="8"/>
      <c r="D796" s="9"/>
      <c r="E796" s="10"/>
      <c r="F796" s="11"/>
      <c r="G796" s="8"/>
      <c r="H796" s="8"/>
      <c r="I796" s="8"/>
      <c r="J796" s="8"/>
    </row>
    <row r="797" spans="1:10" x14ac:dyDescent="0.3">
      <c r="A797" s="7"/>
      <c r="B797" s="8"/>
      <c r="C797" s="8"/>
      <c r="D797" s="9"/>
      <c r="E797" s="10"/>
      <c r="F797" s="11"/>
      <c r="G797" s="8"/>
      <c r="H797" s="8"/>
      <c r="I797" s="8"/>
      <c r="J797" s="8"/>
    </row>
    <row r="798" spans="1:10" x14ac:dyDescent="0.3">
      <c r="A798" s="7"/>
      <c r="B798" s="8"/>
      <c r="C798" s="8"/>
      <c r="D798" s="9"/>
      <c r="E798" s="10"/>
      <c r="F798" s="11"/>
      <c r="G798" s="8"/>
      <c r="H798" s="8"/>
      <c r="I798" s="8"/>
      <c r="J798" s="8"/>
    </row>
    <row r="799" spans="1:10" x14ac:dyDescent="0.3">
      <c r="A799" s="7"/>
      <c r="B799" s="8"/>
      <c r="C799" s="8"/>
      <c r="D799" s="9"/>
      <c r="E799" s="10"/>
      <c r="F799" s="11"/>
      <c r="G799" s="8"/>
      <c r="H799" s="8"/>
      <c r="I799" s="8"/>
      <c r="J799" s="8"/>
    </row>
    <row r="800" spans="1:10" x14ac:dyDescent="0.3">
      <c r="A800" s="7"/>
      <c r="B800" s="8"/>
      <c r="C800" s="8"/>
      <c r="D800" s="9"/>
      <c r="E800" s="10"/>
      <c r="F800" s="11"/>
      <c r="G800" s="8"/>
      <c r="H800" s="8"/>
      <c r="I800" s="8"/>
      <c r="J800" s="8"/>
    </row>
    <row r="801" spans="1:10" x14ac:dyDescent="0.3">
      <c r="A801" s="7"/>
      <c r="B801" s="8"/>
      <c r="C801" s="8"/>
      <c r="D801" s="9"/>
      <c r="E801" s="10"/>
      <c r="F801" s="11"/>
      <c r="G801" s="8"/>
      <c r="H801" s="8"/>
      <c r="I801" s="8"/>
      <c r="J801" s="8"/>
    </row>
    <row r="802" spans="1:10" x14ac:dyDescent="0.3">
      <c r="A802" s="7"/>
      <c r="B802" s="8"/>
      <c r="C802" s="8"/>
      <c r="D802" s="9"/>
      <c r="E802" s="10"/>
      <c r="F802" s="11"/>
      <c r="G802" s="8"/>
      <c r="H802" s="8"/>
      <c r="I802" s="8"/>
      <c r="J802" s="8"/>
    </row>
    <row r="803" spans="1:10" x14ac:dyDescent="0.3">
      <c r="A803" s="7"/>
      <c r="B803" s="8"/>
      <c r="C803" s="8"/>
      <c r="D803" s="9"/>
      <c r="E803" s="10"/>
      <c r="F803" s="11"/>
      <c r="G803" s="8"/>
      <c r="H803" s="8"/>
      <c r="I803" s="8"/>
      <c r="J803" s="8"/>
    </row>
    <row r="804" spans="1:10" x14ac:dyDescent="0.3">
      <c r="A804" s="7"/>
      <c r="B804" s="8"/>
      <c r="C804" s="8"/>
      <c r="D804" s="9"/>
      <c r="E804" s="10"/>
      <c r="F804" s="11"/>
      <c r="G804" s="8"/>
      <c r="H804" s="8"/>
      <c r="I804" s="8"/>
      <c r="J804" s="8"/>
    </row>
    <row r="805" spans="1:10" x14ac:dyDescent="0.3">
      <c r="A805" s="7"/>
      <c r="B805" s="8"/>
      <c r="C805" s="8"/>
      <c r="D805" s="9"/>
      <c r="E805" s="10"/>
      <c r="F805" s="11"/>
      <c r="G805" s="8"/>
      <c r="H805" s="8"/>
      <c r="I805" s="8"/>
      <c r="J805" s="8"/>
    </row>
    <row r="806" spans="1:10" x14ac:dyDescent="0.3">
      <c r="A806" s="7"/>
      <c r="B806" s="8"/>
      <c r="C806" s="8"/>
      <c r="D806" s="9"/>
      <c r="E806" s="10"/>
      <c r="F806" s="11"/>
      <c r="G806" s="8"/>
      <c r="H806" s="8"/>
      <c r="I806" s="8"/>
      <c r="J806" s="8"/>
    </row>
    <row r="807" spans="1:10" x14ac:dyDescent="0.3">
      <c r="A807" s="7"/>
      <c r="B807" s="8"/>
      <c r="C807" s="8"/>
      <c r="D807" s="9"/>
      <c r="E807" s="10"/>
      <c r="F807" s="11"/>
      <c r="G807" s="8"/>
      <c r="H807" s="8"/>
      <c r="I807" s="8"/>
      <c r="J807" s="8"/>
    </row>
    <row r="808" spans="1:10" x14ac:dyDescent="0.3">
      <c r="A808" s="7"/>
      <c r="B808" s="8"/>
      <c r="C808" s="8"/>
      <c r="D808" s="9"/>
      <c r="E808" s="10"/>
      <c r="F808" s="11"/>
      <c r="G808" s="8"/>
      <c r="H808" s="8"/>
      <c r="I808" s="8"/>
      <c r="J808" s="8"/>
    </row>
    <row r="809" spans="1:10" x14ac:dyDescent="0.3">
      <c r="A809" s="7"/>
      <c r="B809" s="8"/>
      <c r="C809" s="8"/>
      <c r="D809" s="9"/>
      <c r="E809" s="10"/>
      <c r="F809" s="11"/>
      <c r="G809" s="8"/>
      <c r="H809" s="8"/>
      <c r="I809" s="8"/>
      <c r="J809" s="8"/>
    </row>
    <row r="810" spans="1:10" x14ac:dyDescent="0.3">
      <c r="A810" s="7"/>
      <c r="B810" s="8"/>
      <c r="C810" s="8"/>
      <c r="D810" s="9"/>
      <c r="E810" s="10"/>
      <c r="F810" s="11"/>
      <c r="G810" s="8"/>
      <c r="H810" s="8"/>
      <c r="I810" s="8"/>
      <c r="J810" s="8"/>
    </row>
    <row r="811" spans="1:10" x14ac:dyDescent="0.3">
      <c r="A811" s="7"/>
      <c r="B811" s="8"/>
      <c r="C811" s="8"/>
      <c r="D811" s="9"/>
      <c r="E811" s="10"/>
      <c r="F811" s="11"/>
      <c r="G811" s="8"/>
      <c r="H811" s="8"/>
      <c r="I811" s="8"/>
      <c r="J811" s="8"/>
    </row>
    <row r="812" spans="1:10" x14ac:dyDescent="0.3">
      <c r="A812" s="7"/>
      <c r="B812" s="8"/>
      <c r="C812" s="8"/>
      <c r="D812" s="9"/>
      <c r="E812" s="10"/>
      <c r="F812" s="11"/>
      <c r="G812" s="8"/>
      <c r="H812" s="8"/>
      <c r="I812" s="8"/>
      <c r="J812" s="8"/>
    </row>
    <row r="813" spans="1:10" x14ac:dyDescent="0.3">
      <c r="A813" s="7"/>
      <c r="B813" s="8"/>
      <c r="C813" s="8"/>
      <c r="D813" s="9"/>
      <c r="E813" s="10"/>
      <c r="F813" s="11"/>
      <c r="G813" s="8"/>
      <c r="H813" s="8"/>
      <c r="I813" s="8"/>
      <c r="J813" s="8"/>
    </row>
    <row r="814" spans="1:10" x14ac:dyDescent="0.3">
      <c r="A814" s="7"/>
      <c r="B814" s="8"/>
      <c r="C814" s="8"/>
      <c r="D814" s="9"/>
      <c r="E814" s="10"/>
      <c r="F814" s="11"/>
      <c r="G814" s="8"/>
      <c r="H814" s="8"/>
      <c r="I814" s="8"/>
      <c r="J814" s="8"/>
    </row>
    <row r="815" spans="1:10" x14ac:dyDescent="0.3">
      <c r="A815" s="7"/>
      <c r="B815" s="8"/>
      <c r="C815" s="8"/>
      <c r="D815" s="9"/>
      <c r="E815" s="10"/>
      <c r="F815" s="11"/>
      <c r="G815" s="8"/>
      <c r="H815" s="8"/>
      <c r="I815" s="8"/>
      <c r="J815" s="8"/>
    </row>
    <row r="816" spans="1:10" x14ac:dyDescent="0.3">
      <c r="A816" s="7"/>
      <c r="B816" s="8"/>
      <c r="C816" s="8"/>
      <c r="D816" s="9"/>
      <c r="E816" s="10"/>
      <c r="F816" s="11"/>
      <c r="G816" s="8"/>
      <c r="H816" s="8"/>
      <c r="I816" s="8"/>
      <c r="J816" s="8"/>
    </row>
    <row r="817" spans="1:10" x14ac:dyDescent="0.3">
      <c r="A817" s="7"/>
      <c r="B817" s="8"/>
      <c r="C817" s="8"/>
      <c r="D817" s="9"/>
      <c r="E817" s="10"/>
      <c r="F817" s="11"/>
      <c r="G817" s="8"/>
      <c r="H817" s="8"/>
      <c r="I817" s="8"/>
      <c r="J817" s="8"/>
    </row>
    <row r="818" spans="1:10" x14ac:dyDescent="0.3">
      <c r="A818" s="7"/>
      <c r="B818" s="8"/>
      <c r="C818" s="8"/>
      <c r="D818" s="9"/>
      <c r="E818" s="10"/>
      <c r="F818" s="11"/>
      <c r="G818" s="8"/>
      <c r="H818" s="8"/>
      <c r="I818" s="8"/>
      <c r="J818" s="8"/>
    </row>
    <row r="819" spans="1:10" x14ac:dyDescent="0.3">
      <c r="A819" s="7"/>
      <c r="B819" s="8"/>
      <c r="C819" s="8"/>
      <c r="D819" s="9"/>
      <c r="E819" s="10"/>
      <c r="F819" s="11"/>
      <c r="G819" s="8"/>
      <c r="H819" s="8"/>
      <c r="I819" s="8"/>
      <c r="J819" s="8"/>
    </row>
    <row r="820" spans="1:10" x14ac:dyDescent="0.3">
      <c r="A820" s="7"/>
      <c r="B820" s="8"/>
      <c r="C820" s="8"/>
      <c r="D820" s="9"/>
      <c r="E820" s="10"/>
      <c r="F820" s="11"/>
      <c r="G820" s="8"/>
      <c r="H820" s="8"/>
      <c r="I820" s="8"/>
      <c r="J820" s="8"/>
    </row>
    <row r="821" spans="1:10" x14ac:dyDescent="0.3">
      <c r="A821" s="7"/>
      <c r="B821" s="8"/>
      <c r="C821" s="8"/>
      <c r="D821" s="9"/>
      <c r="E821" s="10"/>
      <c r="F821" s="11"/>
      <c r="G821" s="8"/>
      <c r="H821" s="8"/>
      <c r="I821" s="8"/>
      <c r="J821" s="8"/>
    </row>
    <row r="822" spans="1:10" x14ac:dyDescent="0.3">
      <c r="A822" s="7"/>
      <c r="B822" s="8"/>
      <c r="C822" s="8"/>
      <c r="D822" s="9"/>
      <c r="E822" s="10"/>
      <c r="F822" s="11"/>
      <c r="G822" s="8"/>
      <c r="H822" s="8"/>
      <c r="I822" s="8"/>
      <c r="J822" s="8"/>
    </row>
    <row r="823" spans="1:10" x14ac:dyDescent="0.3">
      <c r="A823" s="7"/>
      <c r="B823" s="8"/>
      <c r="C823" s="8"/>
      <c r="D823" s="9"/>
      <c r="E823" s="10"/>
      <c r="F823" s="11"/>
      <c r="G823" s="8"/>
      <c r="H823" s="8"/>
      <c r="I823" s="8"/>
      <c r="J823" s="8"/>
    </row>
    <row r="824" spans="1:10" x14ac:dyDescent="0.3">
      <c r="A824" s="7"/>
      <c r="B824" s="8"/>
      <c r="C824" s="8"/>
      <c r="D824" s="9"/>
      <c r="E824" s="10"/>
      <c r="F824" s="11"/>
      <c r="G824" s="8"/>
      <c r="H824" s="8"/>
      <c r="I824" s="8"/>
      <c r="J824" s="8"/>
    </row>
    <row r="825" spans="1:10" x14ac:dyDescent="0.3">
      <c r="A825" s="7"/>
      <c r="B825" s="8"/>
      <c r="C825" s="8"/>
      <c r="D825" s="9"/>
      <c r="E825" s="10"/>
      <c r="F825" s="11"/>
      <c r="G825" s="8"/>
      <c r="H825" s="8"/>
      <c r="I825" s="8"/>
      <c r="J825" s="8"/>
    </row>
    <row r="826" spans="1:10" x14ac:dyDescent="0.3">
      <c r="A826" s="7"/>
      <c r="B826" s="8"/>
      <c r="C826" s="8"/>
      <c r="D826" s="9"/>
      <c r="E826" s="10"/>
      <c r="F826" s="11"/>
      <c r="G826" s="8"/>
      <c r="H826" s="8"/>
      <c r="I826" s="8"/>
      <c r="J826" s="8"/>
    </row>
    <row r="827" spans="1:10" x14ac:dyDescent="0.3">
      <c r="A827" s="7"/>
      <c r="B827" s="8"/>
      <c r="C827" s="8"/>
      <c r="D827" s="9"/>
      <c r="E827" s="10"/>
      <c r="F827" s="11"/>
      <c r="G827" s="8"/>
      <c r="H827" s="8"/>
      <c r="I827" s="8"/>
      <c r="J827" s="8"/>
    </row>
    <row r="828" spans="1:10" x14ac:dyDescent="0.3">
      <c r="A828" s="7"/>
      <c r="B828" s="8"/>
      <c r="C828" s="8"/>
      <c r="D828" s="9"/>
      <c r="E828" s="10"/>
      <c r="F828" s="11"/>
      <c r="G828" s="8"/>
      <c r="H828" s="8"/>
      <c r="I828" s="8"/>
      <c r="J828" s="8"/>
    </row>
    <row r="829" spans="1:10" x14ac:dyDescent="0.3">
      <c r="A829" s="7"/>
      <c r="B829" s="8"/>
      <c r="C829" s="8"/>
      <c r="D829" s="9"/>
      <c r="E829" s="10"/>
      <c r="F829" s="11"/>
      <c r="G829" s="8"/>
      <c r="H829" s="8"/>
      <c r="I829" s="8"/>
      <c r="J829" s="8"/>
    </row>
    <row r="830" spans="1:10" x14ac:dyDescent="0.3">
      <c r="A830" s="7"/>
      <c r="B830" s="8"/>
      <c r="C830" s="8"/>
      <c r="D830" s="9"/>
      <c r="E830" s="10"/>
      <c r="F830" s="11"/>
      <c r="G830" s="8"/>
      <c r="H830" s="8"/>
      <c r="I830" s="8"/>
      <c r="J830" s="8"/>
    </row>
    <row r="831" spans="1:10" x14ac:dyDescent="0.3">
      <c r="A831" s="7"/>
      <c r="B831" s="8"/>
      <c r="C831" s="8"/>
      <c r="D831" s="9"/>
      <c r="E831" s="10"/>
      <c r="F831" s="11"/>
      <c r="G831" s="8"/>
      <c r="H831" s="8"/>
      <c r="I831" s="8"/>
      <c r="J831" s="8"/>
    </row>
    <row r="832" spans="1:10" x14ac:dyDescent="0.3">
      <c r="A832" s="7"/>
      <c r="B832" s="8"/>
      <c r="C832" s="8"/>
      <c r="D832" s="9"/>
      <c r="E832" s="10"/>
      <c r="F832" s="11"/>
      <c r="G832" s="8"/>
      <c r="H832" s="8"/>
      <c r="I832" s="8"/>
      <c r="J832" s="8"/>
    </row>
    <row r="833" spans="1:10" x14ac:dyDescent="0.3">
      <c r="A833" s="7"/>
      <c r="B833" s="8"/>
      <c r="C833" s="8"/>
      <c r="D833" s="9"/>
      <c r="E833" s="10"/>
      <c r="F833" s="11"/>
      <c r="G833" s="8"/>
      <c r="H833" s="8"/>
      <c r="I833" s="8"/>
      <c r="J833" s="8"/>
    </row>
    <row r="834" spans="1:10" x14ac:dyDescent="0.3">
      <c r="A834" s="7"/>
      <c r="B834" s="8"/>
      <c r="C834" s="8"/>
      <c r="D834" s="9"/>
      <c r="E834" s="10"/>
      <c r="F834" s="11"/>
      <c r="G834" s="8"/>
      <c r="H834" s="8"/>
      <c r="I834" s="8"/>
      <c r="J834" s="8"/>
    </row>
    <row r="835" spans="1:10" x14ac:dyDescent="0.3">
      <c r="A835" s="7"/>
      <c r="B835" s="8"/>
      <c r="C835" s="8"/>
      <c r="D835" s="9"/>
      <c r="E835" s="10"/>
      <c r="F835" s="11"/>
      <c r="G835" s="8"/>
      <c r="H835" s="8"/>
      <c r="I835" s="8"/>
      <c r="J835" s="8"/>
    </row>
    <row r="836" spans="1:10" x14ac:dyDescent="0.3">
      <c r="A836" s="7"/>
      <c r="B836" s="8"/>
      <c r="C836" s="8"/>
      <c r="D836" s="9"/>
      <c r="E836" s="10"/>
      <c r="F836" s="11"/>
      <c r="G836" s="8"/>
      <c r="H836" s="8"/>
      <c r="I836" s="8"/>
      <c r="J836" s="8"/>
    </row>
    <row r="837" spans="1:10" x14ac:dyDescent="0.3">
      <c r="A837" s="7"/>
      <c r="B837" s="8"/>
      <c r="C837" s="8"/>
      <c r="D837" s="9"/>
      <c r="E837" s="10"/>
      <c r="F837" s="11"/>
      <c r="G837" s="8"/>
      <c r="H837" s="8"/>
      <c r="I837" s="8"/>
      <c r="J837" s="8"/>
    </row>
    <row r="838" spans="1:10" x14ac:dyDescent="0.3">
      <c r="A838" s="7"/>
      <c r="B838" s="8"/>
      <c r="C838" s="8"/>
      <c r="D838" s="9"/>
      <c r="E838" s="10"/>
      <c r="F838" s="11"/>
      <c r="G838" s="8"/>
      <c r="H838" s="8"/>
      <c r="I838" s="8"/>
      <c r="J838" s="8"/>
    </row>
    <row r="839" spans="1:10" x14ac:dyDescent="0.3">
      <c r="A839" s="7"/>
      <c r="B839" s="8"/>
      <c r="C839" s="8"/>
      <c r="D839" s="9"/>
      <c r="E839" s="10"/>
      <c r="F839" s="11"/>
      <c r="G839" s="8"/>
      <c r="H839" s="8"/>
      <c r="I839" s="8"/>
      <c r="J839" s="8"/>
    </row>
    <row r="840" spans="1:10" x14ac:dyDescent="0.3">
      <c r="A840" s="7"/>
      <c r="B840" s="8"/>
      <c r="C840" s="8"/>
      <c r="D840" s="9"/>
      <c r="E840" s="10"/>
      <c r="F840" s="11"/>
      <c r="G840" s="8"/>
      <c r="H840" s="8"/>
      <c r="I840" s="8"/>
      <c r="J840" s="8"/>
    </row>
    <row r="841" spans="1:10" x14ac:dyDescent="0.3">
      <c r="A841" s="7"/>
      <c r="B841" s="8"/>
      <c r="C841" s="8"/>
      <c r="D841" s="9"/>
      <c r="E841" s="10"/>
      <c r="F841" s="11"/>
      <c r="G841" s="8"/>
      <c r="H841" s="8"/>
      <c r="I841" s="8"/>
      <c r="J841" s="8"/>
    </row>
    <row r="842" spans="1:10" x14ac:dyDescent="0.3">
      <c r="A842" s="7"/>
      <c r="B842" s="8"/>
      <c r="C842" s="8"/>
      <c r="D842" s="9"/>
      <c r="E842" s="10"/>
      <c r="F842" s="11"/>
      <c r="G842" s="8"/>
      <c r="H842" s="8"/>
      <c r="I842" s="8"/>
      <c r="J842" s="8"/>
    </row>
    <row r="843" spans="1:10" x14ac:dyDescent="0.3">
      <c r="A843" s="7"/>
      <c r="B843" s="8"/>
      <c r="C843" s="8"/>
      <c r="D843" s="9"/>
      <c r="E843" s="10"/>
      <c r="F843" s="11"/>
      <c r="G843" s="8"/>
      <c r="H843" s="8"/>
      <c r="I843" s="8"/>
      <c r="J843" s="8"/>
    </row>
    <row r="844" spans="1:10" x14ac:dyDescent="0.3">
      <c r="A844" s="7"/>
      <c r="B844" s="8"/>
      <c r="C844" s="8"/>
      <c r="D844" s="9"/>
      <c r="E844" s="10"/>
      <c r="F844" s="11"/>
      <c r="G844" s="8"/>
      <c r="H844" s="8"/>
      <c r="I844" s="8"/>
      <c r="J844" s="8"/>
    </row>
    <row r="845" spans="1:10" x14ac:dyDescent="0.3">
      <c r="A845" s="7"/>
      <c r="B845" s="8"/>
      <c r="C845" s="8"/>
      <c r="D845" s="9"/>
      <c r="E845" s="10"/>
      <c r="F845" s="11"/>
      <c r="G845" s="8"/>
      <c r="H845" s="8"/>
      <c r="I845" s="8"/>
      <c r="J845" s="8"/>
    </row>
    <row r="846" spans="1:10" x14ac:dyDescent="0.3">
      <c r="A846" s="7"/>
      <c r="B846" s="8"/>
      <c r="C846" s="8"/>
      <c r="D846" s="9"/>
      <c r="E846" s="10"/>
      <c r="F846" s="11"/>
      <c r="G846" s="8"/>
      <c r="H846" s="8"/>
      <c r="I846" s="8"/>
      <c r="J846" s="8"/>
    </row>
    <row r="847" spans="1:10" x14ac:dyDescent="0.3">
      <c r="A847" s="7"/>
      <c r="B847" s="8"/>
      <c r="C847" s="8"/>
      <c r="D847" s="9"/>
      <c r="E847" s="10"/>
      <c r="F847" s="11"/>
      <c r="G847" s="8"/>
      <c r="H847" s="8"/>
      <c r="I847" s="8"/>
      <c r="J847" s="8"/>
    </row>
    <row r="848" spans="1:10" x14ac:dyDescent="0.3">
      <c r="A848" s="7"/>
      <c r="B848" s="8"/>
      <c r="C848" s="8"/>
      <c r="D848" s="9"/>
      <c r="E848" s="10"/>
      <c r="F848" s="11"/>
      <c r="G848" s="8"/>
      <c r="H848" s="8"/>
      <c r="I848" s="8"/>
      <c r="J848" s="8"/>
    </row>
    <row r="849" spans="1:10" x14ac:dyDescent="0.3">
      <c r="A849" s="7"/>
      <c r="B849" s="8"/>
      <c r="C849" s="8"/>
      <c r="D849" s="9"/>
      <c r="E849" s="10"/>
      <c r="F849" s="11"/>
      <c r="G849" s="8"/>
      <c r="H849" s="8"/>
      <c r="I849" s="8"/>
      <c r="J849" s="8"/>
    </row>
    <row r="850" spans="1:10" x14ac:dyDescent="0.3">
      <c r="A850" s="7"/>
      <c r="B850" s="8"/>
      <c r="C850" s="8"/>
      <c r="D850" s="9"/>
      <c r="E850" s="10"/>
      <c r="F850" s="11"/>
      <c r="G850" s="8"/>
      <c r="H850" s="8"/>
      <c r="I850" s="8"/>
      <c r="J850" s="8"/>
    </row>
    <row r="851" spans="1:10" x14ac:dyDescent="0.3">
      <c r="A851" s="7"/>
      <c r="B851" s="8"/>
      <c r="C851" s="8"/>
      <c r="D851" s="9"/>
      <c r="E851" s="10"/>
      <c r="F851" s="11"/>
      <c r="G851" s="8"/>
      <c r="H851" s="8"/>
      <c r="I851" s="8"/>
      <c r="J851" s="8"/>
    </row>
    <row r="852" spans="1:10" x14ac:dyDescent="0.3">
      <c r="A852" s="7"/>
      <c r="B852" s="8"/>
      <c r="C852" s="8"/>
      <c r="D852" s="9"/>
      <c r="E852" s="10"/>
      <c r="F852" s="11"/>
      <c r="G852" s="8"/>
      <c r="H852" s="8"/>
      <c r="I852" s="8"/>
      <c r="J852" s="8"/>
    </row>
    <row r="853" spans="1:10" x14ac:dyDescent="0.3">
      <c r="A853" s="7"/>
      <c r="B853" s="8"/>
      <c r="C853" s="8"/>
      <c r="D853" s="9"/>
      <c r="E853" s="10"/>
      <c r="F853" s="11"/>
      <c r="G853" s="8"/>
      <c r="H853" s="8"/>
      <c r="I853" s="8"/>
      <c r="J853" s="8"/>
    </row>
    <row r="854" spans="1:10" x14ac:dyDescent="0.3">
      <c r="A854" s="7"/>
      <c r="B854" s="8"/>
      <c r="C854" s="8"/>
      <c r="D854" s="9"/>
      <c r="E854" s="10"/>
      <c r="F854" s="11"/>
      <c r="G854" s="8"/>
      <c r="H854" s="8"/>
      <c r="I854" s="8"/>
      <c r="J854" s="8"/>
    </row>
    <row r="855" spans="1:10" x14ac:dyDescent="0.3">
      <c r="A855" s="7"/>
      <c r="B855" s="8"/>
      <c r="C855" s="8"/>
      <c r="D855" s="9"/>
      <c r="E855" s="10"/>
      <c r="F855" s="11"/>
      <c r="G855" s="8"/>
      <c r="H855" s="8"/>
      <c r="I855" s="8"/>
      <c r="J855" s="8"/>
    </row>
    <row r="856" spans="1:10" x14ac:dyDescent="0.3">
      <c r="A856" s="7"/>
      <c r="B856" s="8"/>
      <c r="C856" s="8"/>
      <c r="D856" s="9"/>
      <c r="E856" s="10"/>
      <c r="F856" s="11"/>
      <c r="G856" s="8"/>
      <c r="H856" s="8"/>
      <c r="I856" s="8"/>
      <c r="J856" s="8"/>
    </row>
    <row r="857" spans="1:10" x14ac:dyDescent="0.3">
      <c r="A857" s="7"/>
      <c r="B857" s="8"/>
      <c r="C857" s="8"/>
      <c r="D857" s="9"/>
      <c r="E857" s="10"/>
      <c r="F857" s="11"/>
      <c r="G857" s="8"/>
      <c r="H857" s="8"/>
      <c r="I857" s="8"/>
      <c r="J857" s="8"/>
    </row>
    <row r="858" spans="1:10" x14ac:dyDescent="0.3">
      <c r="A858" s="7"/>
      <c r="B858" s="8"/>
      <c r="C858" s="8"/>
      <c r="D858" s="9"/>
      <c r="E858" s="10"/>
      <c r="F858" s="11"/>
      <c r="G858" s="8"/>
      <c r="H858" s="8"/>
      <c r="I858" s="8"/>
      <c r="J858" s="8"/>
    </row>
    <row r="859" spans="1:10" x14ac:dyDescent="0.3">
      <c r="A859" s="7"/>
      <c r="B859" s="8"/>
      <c r="C859" s="8"/>
      <c r="D859" s="9"/>
      <c r="E859" s="10"/>
      <c r="F859" s="11"/>
      <c r="G859" s="8"/>
      <c r="H859" s="8"/>
      <c r="I859" s="8"/>
      <c r="J859" s="8"/>
    </row>
    <row r="860" spans="1:10" x14ac:dyDescent="0.3">
      <c r="A860" s="7"/>
      <c r="B860" s="8"/>
      <c r="C860" s="8"/>
      <c r="D860" s="9"/>
      <c r="E860" s="10"/>
      <c r="F860" s="11"/>
      <c r="G860" s="8"/>
      <c r="H860" s="8"/>
      <c r="I860" s="8"/>
      <c r="J860" s="8"/>
    </row>
    <row r="861" spans="1:10" x14ac:dyDescent="0.3">
      <c r="A861" s="7"/>
      <c r="B861" s="8"/>
      <c r="C861" s="8"/>
      <c r="D861" s="9"/>
      <c r="E861" s="10"/>
      <c r="F861" s="11"/>
      <c r="G861" s="8"/>
      <c r="H861" s="8"/>
      <c r="I861" s="8"/>
      <c r="J861" s="8"/>
    </row>
    <row r="862" spans="1:10" x14ac:dyDescent="0.3">
      <c r="A862" s="7"/>
      <c r="B862" s="8"/>
      <c r="C862" s="8"/>
      <c r="D862" s="9"/>
      <c r="E862" s="10"/>
      <c r="F862" s="11"/>
      <c r="G862" s="8"/>
      <c r="H862" s="8"/>
      <c r="I862" s="8"/>
      <c r="J862" s="8"/>
    </row>
    <row r="863" spans="1:10" x14ac:dyDescent="0.3">
      <c r="A863" s="7"/>
      <c r="B863" s="8"/>
      <c r="C863" s="8"/>
      <c r="D863" s="9"/>
      <c r="E863" s="10"/>
      <c r="F863" s="11"/>
      <c r="G863" s="8"/>
      <c r="H863" s="8"/>
      <c r="I863" s="8"/>
      <c r="J863" s="8"/>
    </row>
    <row r="864" spans="1:10" x14ac:dyDescent="0.3">
      <c r="A864" s="7"/>
      <c r="B864" s="8"/>
      <c r="C864" s="8"/>
      <c r="D864" s="9"/>
      <c r="E864" s="10"/>
      <c r="F864" s="11"/>
      <c r="G864" s="8"/>
      <c r="H864" s="8"/>
      <c r="I864" s="8"/>
      <c r="J864" s="8"/>
    </row>
    <row r="865" spans="1:10" x14ac:dyDescent="0.3">
      <c r="A865" s="7"/>
      <c r="B865" s="8"/>
      <c r="C865" s="8"/>
      <c r="D865" s="9"/>
      <c r="E865" s="10"/>
      <c r="F865" s="11"/>
      <c r="G865" s="8"/>
      <c r="H865" s="8"/>
      <c r="I865" s="8"/>
      <c r="J865" s="8"/>
    </row>
    <row r="866" spans="1:10" x14ac:dyDescent="0.3">
      <c r="A866" s="7"/>
      <c r="B866" s="8"/>
      <c r="C866" s="8"/>
      <c r="D866" s="9"/>
      <c r="E866" s="10"/>
      <c r="F866" s="11"/>
      <c r="G866" s="8"/>
      <c r="H866" s="8"/>
      <c r="I866" s="8"/>
      <c r="J866" s="8"/>
    </row>
    <row r="867" spans="1:10" x14ac:dyDescent="0.3">
      <c r="A867" s="7"/>
      <c r="B867" s="8"/>
      <c r="C867" s="8"/>
      <c r="D867" s="9"/>
      <c r="E867" s="10"/>
      <c r="F867" s="11"/>
      <c r="G867" s="8"/>
      <c r="H867" s="8"/>
      <c r="I867" s="8"/>
      <c r="J867" s="8"/>
    </row>
    <row r="868" spans="1:10" x14ac:dyDescent="0.3">
      <c r="A868" s="7"/>
      <c r="B868" s="8"/>
      <c r="C868" s="8"/>
      <c r="D868" s="9"/>
      <c r="E868" s="10"/>
      <c r="F868" s="11"/>
      <c r="G868" s="8"/>
      <c r="H868" s="8"/>
      <c r="I868" s="8"/>
      <c r="J868" s="8"/>
    </row>
    <row r="869" spans="1:10" x14ac:dyDescent="0.3">
      <c r="A869" s="7"/>
      <c r="B869" s="8"/>
      <c r="C869" s="8"/>
      <c r="D869" s="9"/>
      <c r="E869" s="10"/>
      <c r="F869" s="11"/>
      <c r="G869" s="8"/>
      <c r="H869" s="8"/>
      <c r="I869" s="8"/>
      <c r="J869" s="8"/>
    </row>
    <row r="870" spans="1:10" x14ac:dyDescent="0.3">
      <c r="A870" s="7"/>
      <c r="B870" s="8"/>
      <c r="C870" s="8"/>
      <c r="D870" s="9"/>
      <c r="E870" s="10"/>
      <c r="F870" s="11"/>
      <c r="G870" s="8"/>
      <c r="H870" s="8"/>
      <c r="I870" s="8"/>
      <c r="J870" s="8"/>
    </row>
    <row r="871" spans="1:10" x14ac:dyDescent="0.3">
      <c r="A871" s="7"/>
      <c r="B871" s="8"/>
      <c r="C871" s="8"/>
      <c r="D871" s="9"/>
      <c r="E871" s="10"/>
      <c r="F871" s="11"/>
      <c r="G871" s="8"/>
      <c r="H871" s="8"/>
      <c r="I871" s="8"/>
      <c r="J871" s="8"/>
    </row>
    <row r="872" spans="1:10" x14ac:dyDescent="0.3">
      <c r="A872" s="7"/>
      <c r="B872" s="8"/>
      <c r="C872" s="8"/>
      <c r="D872" s="9"/>
      <c r="E872" s="10"/>
      <c r="F872" s="11"/>
      <c r="G872" s="8"/>
      <c r="H872" s="8"/>
      <c r="I872" s="8"/>
      <c r="J872" s="8"/>
    </row>
    <row r="873" spans="1:10" x14ac:dyDescent="0.3">
      <c r="A873" s="7"/>
      <c r="B873" s="8"/>
      <c r="C873" s="8"/>
      <c r="D873" s="9"/>
      <c r="E873" s="10"/>
      <c r="F873" s="11"/>
      <c r="G873" s="8"/>
      <c r="H873" s="8"/>
      <c r="I873" s="8"/>
      <c r="J873" s="8"/>
    </row>
    <row r="874" spans="1:10" x14ac:dyDescent="0.3">
      <c r="A874" s="7"/>
      <c r="B874" s="8"/>
      <c r="C874" s="8"/>
      <c r="D874" s="9"/>
      <c r="E874" s="10"/>
      <c r="F874" s="11"/>
      <c r="G874" s="8"/>
      <c r="H874" s="8"/>
      <c r="I874" s="8"/>
      <c r="J874" s="8"/>
    </row>
    <row r="875" spans="1:10" x14ac:dyDescent="0.3">
      <c r="A875" s="7"/>
      <c r="B875" s="8"/>
      <c r="C875" s="8"/>
      <c r="D875" s="9"/>
      <c r="E875" s="10"/>
      <c r="F875" s="11"/>
      <c r="G875" s="8"/>
      <c r="H875" s="8"/>
      <c r="I875" s="8"/>
      <c r="J875" s="8"/>
    </row>
    <row r="876" spans="1:10" x14ac:dyDescent="0.3">
      <c r="A876" s="7"/>
      <c r="B876" s="8"/>
      <c r="C876" s="8"/>
      <c r="D876" s="9"/>
      <c r="E876" s="10"/>
      <c r="F876" s="11"/>
      <c r="G876" s="8"/>
      <c r="H876" s="8"/>
      <c r="I876" s="8"/>
      <c r="J876" s="8"/>
    </row>
    <row r="877" spans="1:10" x14ac:dyDescent="0.3">
      <c r="A877" s="7"/>
      <c r="B877" s="8"/>
      <c r="C877" s="8"/>
      <c r="D877" s="9"/>
      <c r="E877" s="10"/>
      <c r="F877" s="11"/>
      <c r="G877" s="8"/>
      <c r="H877" s="8"/>
      <c r="I877" s="8"/>
      <c r="J877" s="8"/>
    </row>
    <row r="878" spans="1:10" x14ac:dyDescent="0.3">
      <c r="A878" s="7"/>
      <c r="B878" s="8"/>
      <c r="C878" s="8"/>
      <c r="D878" s="9"/>
      <c r="E878" s="10"/>
      <c r="F878" s="11"/>
      <c r="G878" s="8"/>
      <c r="H878" s="8"/>
      <c r="I878" s="8"/>
      <c r="J878" s="8"/>
    </row>
    <row r="879" spans="1:10" x14ac:dyDescent="0.3">
      <c r="A879" s="7"/>
      <c r="B879" s="8"/>
      <c r="C879" s="8"/>
      <c r="D879" s="9"/>
      <c r="E879" s="10"/>
      <c r="F879" s="11"/>
      <c r="G879" s="8"/>
      <c r="H879" s="8"/>
      <c r="I879" s="8"/>
      <c r="J879" s="8"/>
    </row>
    <row r="880" spans="1:10" x14ac:dyDescent="0.3">
      <c r="A880" s="7"/>
      <c r="B880" s="8"/>
      <c r="C880" s="8"/>
      <c r="D880" s="9"/>
      <c r="E880" s="10"/>
      <c r="F880" s="11"/>
      <c r="G880" s="8"/>
      <c r="H880" s="8"/>
      <c r="I880" s="8"/>
      <c r="J880" s="8"/>
    </row>
    <row r="881" spans="1:10" x14ac:dyDescent="0.3">
      <c r="A881" s="7"/>
      <c r="B881" s="8"/>
      <c r="C881" s="8"/>
      <c r="D881" s="9"/>
      <c r="E881" s="10"/>
      <c r="F881" s="11"/>
      <c r="G881" s="8"/>
      <c r="H881" s="8"/>
      <c r="I881" s="8"/>
      <c r="J881" s="8"/>
    </row>
    <row r="882" spans="1:10" x14ac:dyDescent="0.3">
      <c r="A882" s="7"/>
      <c r="B882" s="8"/>
      <c r="C882" s="8"/>
      <c r="D882" s="9"/>
      <c r="E882" s="10"/>
      <c r="F882" s="11"/>
      <c r="G882" s="8"/>
      <c r="H882" s="8"/>
      <c r="I882" s="8"/>
      <c r="J882" s="8"/>
    </row>
    <row r="883" spans="1:10" x14ac:dyDescent="0.3">
      <c r="A883" s="7"/>
      <c r="B883" s="8"/>
      <c r="C883" s="8"/>
      <c r="D883" s="9"/>
      <c r="E883" s="10"/>
      <c r="F883" s="11"/>
      <c r="G883" s="8"/>
      <c r="H883" s="8"/>
      <c r="I883" s="8"/>
      <c r="J883" s="8"/>
    </row>
    <row r="884" spans="1:10" x14ac:dyDescent="0.3">
      <c r="A884" s="7"/>
      <c r="B884" s="8"/>
      <c r="C884" s="8"/>
      <c r="D884" s="9"/>
      <c r="E884" s="10"/>
      <c r="F884" s="11"/>
      <c r="G884" s="8"/>
      <c r="H884" s="8"/>
      <c r="I884" s="8"/>
      <c r="J884" s="8"/>
    </row>
    <row r="885" spans="1:10" x14ac:dyDescent="0.3">
      <c r="A885" s="7"/>
      <c r="B885" s="8"/>
      <c r="C885" s="8"/>
      <c r="D885" s="9"/>
      <c r="E885" s="10"/>
      <c r="F885" s="11"/>
      <c r="G885" s="8"/>
      <c r="H885" s="8"/>
      <c r="I885" s="8"/>
      <c r="J885" s="8"/>
    </row>
    <row r="886" spans="1:10" x14ac:dyDescent="0.3">
      <c r="A886" s="7"/>
      <c r="B886" s="8"/>
      <c r="C886" s="8"/>
      <c r="D886" s="9"/>
      <c r="E886" s="10"/>
      <c r="F886" s="11"/>
      <c r="G886" s="8"/>
      <c r="H886" s="8"/>
      <c r="I886" s="8"/>
      <c r="J886" s="8"/>
    </row>
    <row r="887" spans="1:10" x14ac:dyDescent="0.3">
      <c r="A887" s="7"/>
      <c r="B887" s="8"/>
      <c r="C887" s="8"/>
      <c r="D887" s="9"/>
      <c r="E887" s="10"/>
      <c r="F887" s="11"/>
      <c r="G887" s="8"/>
      <c r="H887" s="8"/>
      <c r="I887" s="8"/>
      <c r="J887" s="8"/>
    </row>
    <row r="888" spans="1:10" x14ac:dyDescent="0.3">
      <c r="A888" s="7"/>
      <c r="B888" s="8"/>
      <c r="C888" s="8"/>
      <c r="D888" s="9"/>
      <c r="E888" s="10"/>
      <c r="F888" s="11"/>
      <c r="G888" s="8"/>
      <c r="H888" s="8"/>
      <c r="I888" s="8"/>
      <c r="J888" s="8"/>
    </row>
    <row r="889" spans="1:10" x14ac:dyDescent="0.3">
      <c r="A889" s="7"/>
      <c r="B889" s="8"/>
      <c r="C889" s="8"/>
      <c r="D889" s="9"/>
      <c r="E889" s="10"/>
      <c r="F889" s="11"/>
      <c r="G889" s="8"/>
      <c r="H889" s="8"/>
      <c r="I889" s="8"/>
      <c r="J889" s="8"/>
    </row>
    <row r="890" spans="1:10" x14ac:dyDescent="0.3">
      <c r="A890" s="7"/>
      <c r="B890" s="8"/>
      <c r="C890" s="8"/>
      <c r="D890" s="9"/>
      <c r="E890" s="10"/>
      <c r="F890" s="11"/>
      <c r="G890" s="8"/>
      <c r="H890" s="8"/>
      <c r="I890" s="8"/>
      <c r="J890" s="8"/>
    </row>
    <row r="891" spans="1:10" x14ac:dyDescent="0.3">
      <c r="A891" s="7"/>
      <c r="B891" s="8"/>
      <c r="C891" s="8"/>
      <c r="D891" s="9"/>
      <c r="E891" s="10"/>
      <c r="F891" s="11"/>
      <c r="G891" s="8"/>
      <c r="H891" s="8"/>
      <c r="I891" s="8"/>
      <c r="J891" s="8"/>
    </row>
    <row r="892" spans="1:10" x14ac:dyDescent="0.3">
      <c r="A892" s="7"/>
      <c r="B892" s="8"/>
      <c r="C892" s="8"/>
      <c r="D892" s="9"/>
      <c r="E892" s="10"/>
      <c r="F892" s="11"/>
      <c r="G892" s="8"/>
      <c r="H892" s="8"/>
      <c r="I892" s="8"/>
      <c r="J892" s="8"/>
    </row>
    <row r="893" spans="1:10" x14ac:dyDescent="0.3">
      <c r="A893" s="7"/>
      <c r="B893" s="8"/>
      <c r="C893" s="8"/>
      <c r="D893" s="9"/>
      <c r="E893" s="10"/>
      <c r="F893" s="11"/>
      <c r="G893" s="8"/>
      <c r="H893" s="8"/>
      <c r="I893" s="8"/>
      <c r="J893" s="8"/>
    </row>
    <row r="894" spans="1:10" x14ac:dyDescent="0.3">
      <c r="A894" s="7"/>
      <c r="B894" s="8"/>
      <c r="C894" s="8"/>
      <c r="D894" s="9"/>
      <c r="E894" s="10"/>
      <c r="F894" s="11"/>
      <c r="G894" s="8"/>
      <c r="H894" s="8"/>
      <c r="I894" s="8"/>
      <c r="J894" s="8"/>
    </row>
    <row r="895" spans="1:10" x14ac:dyDescent="0.3">
      <c r="A895" s="7"/>
      <c r="B895" s="8"/>
      <c r="C895" s="8"/>
      <c r="D895" s="9"/>
      <c r="E895" s="10"/>
      <c r="F895" s="11"/>
      <c r="G895" s="8"/>
      <c r="H895" s="8"/>
      <c r="I895" s="8"/>
      <c r="J895" s="8"/>
    </row>
    <row r="896" spans="1:10" x14ac:dyDescent="0.3">
      <c r="A896" s="7"/>
      <c r="B896" s="8"/>
      <c r="C896" s="8"/>
      <c r="D896" s="9"/>
      <c r="E896" s="10"/>
      <c r="F896" s="11"/>
      <c r="G896" s="8"/>
      <c r="H896" s="8"/>
      <c r="I896" s="8"/>
      <c r="J896" s="8"/>
    </row>
    <row r="897" spans="1:10" x14ac:dyDescent="0.3">
      <c r="A897" s="7"/>
      <c r="B897" s="8"/>
      <c r="C897" s="8"/>
      <c r="D897" s="9"/>
      <c r="E897" s="10"/>
      <c r="F897" s="11"/>
      <c r="G897" s="8"/>
      <c r="H897" s="8"/>
      <c r="I897" s="8"/>
      <c r="J897" s="8"/>
    </row>
    <row r="898" spans="1:10" x14ac:dyDescent="0.3">
      <c r="A898" s="7"/>
      <c r="B898" s="8"/>
      <c r="C898" s="8"/>
      <c r="D898" s="9"/>
      <c r="E898" s="10"/>
      <c r="F898" s="11"/>
      <c r="G898" s="8"/>
      <c r="H898" s="8"/>
      <c r="I898" s="8"/>
      <c r="J898" s="8"/>
    </row>
    <row r="899" spans="1:10" x14ac:dyDescent="0.3">
      <c r="A899" s="7"/>
      <c r="B899" s="8"/>
      <c r="C899" s="8"/>
      <c r="D899" s="9"/>
      <c r="E899" s="10"/>
      <c r="F899" s="11"/>
      <c r="G899" s="8"/>
      <c r="H899" s="8"/>
      <c r="I899" s="8"/>
      <c r="J899" s="8"/>
    </row>
    <row r="900" spans="1:10" x14ac:dyDescent="0.3">
      <c r="A900" s="7"/>
      <c r="B900" s="8"/>
      <c r="C900" s="8"/>
      <c r="D900" s="9"/>
      <c r="E900" s="10"/>
      <c r="F900" s="11"/>
      <c r="G900" s="8"/>
      <c r="H900" s="8"/>
      <c r="I900" s="8"/>
      <c r="J900" s="8"/>
    </row>
    <row r="901" spans="1:10" x14ac:dyDescent="0.3">
      <c r="A901" s="7"/>
      <c r="B901" s="8"/>
      <c r="C901" s="8"/>
      <c r="D901" s="9"/>
      <c r="E901" s="10"/>
      <c r="F901" s="11"/>
      <c r="G901" s="8"/>
      <c r="H901" s="8"/>
      <c r="I901" s="8"/>
      <c r="J901" s="8"/>
    </row>
    <row r="902" spans="1:10" x14ac:dyDescent="0.3">
      <c r="A902" s="7"/>
      <c r="B902" s="8"/>
      <c r="C902" s="8"/>
      <c r="D902" s="9"/>
      <c r="E902" s="10"/>
      <c r="F902" s="11"/>
      <c r="G902" s="8"/>
      <c r="H902" s="8"/>
      <c r="I902" s="8"/>
      <c r="J902" s="8"/>
    </row>
    <row r="903" spans="1:10" x14ac:dyDescent="0.3">
      <c r="A903" s="7"/>
      <c r="B903" s="8"/>
      <c r="C903" s="8"/>
      <c r="D903" s="9"/>
      <c r="E903" s="10"/>
      <c r="F903" s="11"/>
      <c r="G903" s="8"/>
      <c r="H903" s="8"/>
      <c r="I903" s="8"/>
      <c r="J903" s="8"/>
    </row>
    <row r="904" spans="1:10" x14ac:dyDescent="0.3">
      <c r="A904" s="7"/>
      <c r="B904" s="8"/>
      <c r="C904" s="8"/>
      <c r="D904" s="9"/>
      <c r="E904" s="10"/>
      <c r="F904" s="11"/>
      <c r="G904" s="8"/>
      <c r="H904" s="8"/>
      <c r="I904" s="8"/>
      <c r="J904" s="8"/>
    </row>
    <row r="905" spans="1:10" x14ac:dyDescent="0.3">
      <c r="A905" s="7"/>
      <c r="B905" s="8"/>
      <c r="C905" s="8"/>
      <c r="D905" s="9"/>
      <c r="E905" s="10"/>
      <c r="F905" s="11"/>
      <c r="G905" s="8"/>
      <c r="H905" s="8"/>
      <c r="I905" s="8"/>
      <c r="J905" s="8"/>
    </row>
    <row r="906" spans="1:10" x14ac:dyDescent="0.3">
      <c r="A906" s="7"/>
      <c r="B906" s="8"/>
      <c r="C906" s="8"/>
      <c r="D906" s="9"/>
      <c r="E906" s="10"/>
      <c r="F906" s="11"/>
      <c r="G906" s="8"/>
      <c r="H906" s="8"/>
      <c r="I906" s="8"/>
      <c r="J906" s="8"/>
    </row>
    <row r="907" spans="1:10" x14ac:dyDescent="0.3">
      <c r="A907" s="7"/>
      <c r="B907" s="8"/>
      <c r="C907" s="8"/>
      <c r="D907" s="9"/>
      <c r="E907" s="10"/>
      <c r="F907" s="11"/>
      <c r="G907" s="8"/>
      <c r="H907" s="8"/>
      <c r="I907" s="8"/>
      <c r="J907" s="8"/>
    </row>
    <row r="908" spans="1:10" x14ac:dyDescent="0.3">
      <c r="A908" s="7"/>
      <c r="B908" s="8"/>
      <c r="C908" s="8"/>
      <c r="D908" s="9"/>
      <c r="E908" s="10"/>
      <c r="F908" s="11"/>
      <c r="G908" s="8"/>
      <c r="H908" s="8"/>
      <c r="I908" s="8"/>
      <c r="J908" s="8"/>
    </row>
    <row r="909" spans="1:10" x14ac:dyDescent="0.3">
      <c r="A909" s="7"/>
      <c r="B909" s="8"/>
      <c r="C909" s="8"/>
      <c r="D909" s="9"/>
      <c r="E909" s="10"/>
      <c r="F909" s="11"/>
      <c r="G909" s="8"/>
      <c r="H909" s="8"/>
      <c r="I909" s="8"/>
      <c r="J909" s="8"/>
    </row>
    <row r="910" spans="1:10" x14ac:dyDescent="0.3">
      <c r="A910" s="7"/>
      <c r="B910" s="8"/>
      <c r="C910" s="8"/>
      <c r="D910" s="9"/>
      <c r="E910" s="10"/>
      <c r="F910" s="11"/>
      <c r="G910" s="8"/>
      <c r="H910" s="8"/>
      <c r="I910" s="8"/>
      <c r="J910" s="8"/>
    </row>
    <row r="911" spans="1:10" x14ac:dyDescent="0.3">
      <c r="A911" s="7"/>
      <c r="B911" s="8"/>
      <c r="C911" s="8"/>
      <c r="D911" s="9"/>
      <c r="E911" s="10"/>
      <c r="F911" s="11"/>
      <c r="G911" s="8"/>
      <c r="H911" s="8"/>
      <c r="I911" s="8"/>
      <c r="J911" s="8"/>
    </row>
    <row r="912" spans="1:10" x14ac:dyDescent="0.3">
      <c r="A912" s="7"/>
      <c r="B912" s="8"/>
      <c r="C912" s="8"/>
      <c r="D912" s="9"/>
      <c r="E912" s="10"/>
      <c r="F912" s="11"/>
      <c r="G912" s="8"/>
      <c r="H912" s="8"/>
      <c r="I912" s="8"/>
      <c r="J912" s="8"/>
    </row>
    <row r="913" spans="1:10" x14ac:dyDescent="0.3">
      <c r="A913" s="7"/>
      <c r="B913" s="8"/>
      <c r="C913" s="8"/>
      <c r="D913" s="9"/>
      <c r="E913" s="10"/>
      <c r="F913" s="11"/>
      <c r="G913" s="8"/>
      <c r="H913" s="8"/>
      <c r="I913" s="8"/>
      <c r="J913" s="8"/>
    </row>
    <row r="914" spans="1:10" x14ac:dyDescent="0.3">
      <c r="A914" s="7"/>
      <c r="B914" s="8"/>
      <c r="C914" s="8"/>
      <c r="D914" s="9"/>
      <c r="E914" s="10"/>
      <c r="F914" s="11"/>
      <c r="G914" s="8"/>
      <c r="H914" s="8"/>
      <c r="I914" s="8"/>
      <c r="J914" s="8"/>
    </row>
    <row r="915" spans="1:10" x14ac:dyDescent="0.3">
      <c r="A915" s="7"/>
      <c r="B915" s="8"/>
      <c r="C915" s="8"/>
      <c r="D915" s="9"/>
      <c r="E915" s="10"/>
      <c r="F915" s="11"/>
      <c r="G915" s="8"/>
      <c r="H915" s="8"/>
      <c r="I915" s="8"/>
      <c r="J915" s="8"/>
    </row>
    <row r="916" spans="1:10" x14ac:dyDescent="0.3">
      <c r="A916" s="7"/>
      <c r="B916" s="8"/>
      <c r="C916" s="8"/>
      <c r="D916" s="9"/>
      <c r="E916" s="10"/>
      <c r="F916" s="11"/>
      <c r="G916" s="8"/>
      <c r="H916" s="8"/>
      <c r="I916" s="8"/>
      <c r="J916" s="8"/>
    </row>
    <row r="917" spans="1:10" x14ac:dyDescent="0.3">
      <c r="A917" s="7"/>
      <c r="B917" s="8"/>
      <c r="C917" s="8"/>
      <c r="D917" s="9"/>
      <c r="E917" s="10"/>
      <c r="F917" s="11"/>
      <c r="G917" s="8"/>
      <c r="H917" s="8"/>
      <c r="I917" s="8"/>
      <c r="J917" s="8"/>
    </row>
    <row r="918" spans="1:10" x14ac:dyDescent="0.3">
      <c r="A918" s="7"/>
      <c r="B918" s="8"/>
      <c r="C918" s="8"/>
      <c r="D918" s="9"/>
      <c r="E918" s="10"/>
      <c r="F918" s="11"/>
      <c r="G918" s="8"/>
      <c r="H918" s="8"/>
      <c r="I918" s="8"/>
      <c r="J918" s="8"/>
    </row>
    <row r="919" spans="1:10" x14ac:dyDescent="0.3">
      <c r="A919" s="7"/>
      <c r="B919" s="8"/>
      <c r="C919" s="8"/>
      <c r="D919" s="9"/>
      <c r="E919" s="10"/>
      <c r="F919" s="11"/>
      <c r="G919" s="8"/>
      <c r="H919" s="8"/>
      <c r="I919" s="8"/>
      <c r="J919" s="8"/>
    </row>
    <row r="920" spans="1:10" x14ac:dyDescent="0.3">
      <c r="A920" s="7"/>
      <c r="B920" s="8"/>
      <c r="C920" s="8"/>
      <c r="D920" s="9"/>
      <c r="E920" s="10"/>
      <c r="F920" s="11"/>
      <c r="G920" s="8"/>
      <c r="H920" s="8"/>
      <c r="I920" s="8"/>
      <c r="J920" s="8"/>
    </row>
    <row r="921" spans="1:10" x14ac:dyDescent="0.3">
      <c r="A921" s="7"/>
      <c r="B921" s="8"/>
      <c r="C921" s="8"/>
      <c r="D921" s="9"/>
      <c r="E921" s="10"/>
      <c r="F921" s="11"/>
      <c r="G921" s="8"/>
      <c r="H921" s="8"/>
      <c r="I921" s="8"/>
      <c r="J921" s="8"/>
    </row>
    <row r="922" spans="1:10" x14ac:dyDescent="0.3">
      <c r="A922" s="7"/>
      <c r="B922" s="8"/>
      <c r="C922" s="8"/>
      <c r="D922" s="9"/>
      <c r="E922" s="10"/>
      <c r="F922" s="11"/>
      <c r="G922" s="8"/>
      <c r="H922" s="8"/>
      <c r="I922" s="8"/>
      <c r="J922" s="8"/>
    </row>
    <row r="923" spans="1:10" x14ac:dyDescent="0.3">
      <c r="A923" s="7"/>
      <c r="B923" s="8"/>
      <c r="C923" s="8"/>
      <c r="D923" s="9"/>
      <c r="E923" s="10"/>
      <c r="F923" s="11"/>
      <c r="G923" s="8"/>
      <c r="H923" s="8"/>
      <c r="I923" s="8"/>
      <c r="J923" s="8"/>
    </row>
    <row r="924" spans="1:10" x14ac:dyDescent="0.3">
      <c r="A924" s="7"/>
      <c r="B924" s="8"/>
      <c r="C924" s="8"/>
      <c r="D924" s="9"/>
      <c r="E924" s="10"/>
      <c r="F924" s="11"/>
      <c r="G924" s="8"/>
      <c r="H924" s="8"/>
      <c r="I924" s="8"/>
      <c r="J924" s="8"/>
    </row>
    <row r="925" spans="1:10" x14ac:dyDescent="0.3">
      <c r="A925" s="7"/>
      <c r="B925" s="8"/>
      <c r="C925" s="8"/>
      <c r="D925" s="9"/>
      <c r="E925" s="10"/>
      <c r="F925" s="11"/>
      <c r="G925" s="8"/>
      <c r="H925" s="8"/>
      <c r="I925" s="8"/>
      <c r="J925" s="8"/>
    </row>
    <row r="926" spans="1:10" x14ac:dyDescent="0.3">
      <c r="A926" s="7"/>
      <c r="B926" s="8"/>
      <c r="C926" s="8"/>
      <c r="D926" s="9"/>
      <c r="E926" s="10"/>
      <c r="F926" s="11"/>
      <c r="G926" s="8"/>
      <c r="H926" s="8"/>
      <c r="I926" s="8"/>
      <c r="J926" s="8"/>
    </row>
    <row r="927" spans="1:10" x14ac:dyDescent="0.3">
      <c r="A927" s="7"/>
      <c r="B927" s="8"/>
      <c r="C927" s="8"/>
      <c r="D927" s="9"/>
      <c r="E927" s="10"/>
      <c r="F927" s="11"/>
      <c r="G927" s="8"/>
      <c r="H927" s="8"/>
      <c r="I927" s="8"/>
      <c r="J927" s="8"/>
    </row>
    <row r="928" spans="1:10" x14ac:dyDescent="0.3">
      <c r="A928" s="7"/>
      <c r="B928" s="8"/>
      <c r="C928" s="8"/>
      <c r="D928" s="9"/>
      <c r="E928" s="10"/>
      <c r="F928" s="11"/>
      <c r="G928" s="8"/>
      <c r="H928" s="8"/>
      <c r="I928" s="8"/>
      <c r="J928" s="8"/>
    </row>
    <row r="929" spans="1:10" x14ac:dyDescent="0.3">
      <c r="A929" s="7"/>
      <c r="B929" s="8"/>
      <c r="C929" s="8"/>
      <c r="D929" s="9"/>
      <c r="E929" s="10"/>
      <c r="F929" s="11"/>
      <c r="G929" s="8"/>
      <c r="H929" s="8"/>
      <c r="I929" s="8"/>
      <c r="J929" s="8"/>
    </row>
    <row r="930" spans="1:10" x14ac:dyDescent="0.3">
      <c r="A930" s="7"/>
      <c r="B930" s="8"/>
      <c r="C930" s="8"/>
      <c r="D930" s="9"/>
      <c r="E930" s="10"/>
      <c r="F930" s="11"/>
      <c r="G930" s="8"/>
      <c r="H930" s="8"/>
      <c r="I930" s="8"/>
      <c r="J930" s="8"/>
    </row>
    <row r="931" spans="1:10" x14ac:dyDescent="0.3">
      <c r="A931" s="7"/>
      <c r="B931" s="8"/>
      <c r="C931" s="8"/>
      <c r="D931" s="9"/>
      <c r="E931" s="10"/>
      <c r="F931" s="11"/>
      <c r="G931" s="8"/>
      <c r="H931" s="8"/>
      <c r="I931" s="8"/>
      <c r="J931" s="8"/>
    </row>
    <row r="932" spans="1:10" x14ac:dyDescent="0.3">
      <c r="A932" s="7"/>
      <c r="B932" s="8"/>
      <c r="C932" s="8"/>
      <c r="D932" s="9"/>
      <c r="E932" s="10"/>
      <c r="F932" s="11"/>
      <c r="G932" s="8"/>
      <c r="H932" s="8"/>
      <c r="I932" s="8"/>
      <c r="J932" s="8"/>
    </row>
    <row r="933" spans="1:10" x14ac:dyDescent="0.3">
      <c r="A933" s="7"/>
      <c r="B933" s="8"/>
      <c r="C933" s="8"/>
      <c r="D933" s="9"/>
      <c r="E933" s="10"/>
      <c r="F933" s="11"/>
      <c r="G933" s="8"/>
      <c r="H933" s="8"/>
      <c r="I933" s="8"/>
      <c r="J933" s="8"/>
    </row>
    <row r="934" spans="1:10" x14ac:dyDescent="0.3">
      <c r="A934" s="7"/>
      <c r="B934" s="8"/>
      <c r="C934" s="8"/>
      <c r="D934" s="9"/>
      <c r="E934" s="10"/>
      <c r="F934" s="11"/>
      <c r="G934" s="8"/>
      <c r="H934" s="8"/>
      <c r="I934" s="8"/>
      <c r="J934" s="8"/>
    </row>
    <row r="935" spans="1:10" x14ac:dyDescent="0.3">
      <c r="A935" s="7"/>
      <c r="B935" s="8"/>
      <c r="C935" s="8"/>
      <c r="D935" s="9"/>
      <c r="E935" s="10"/>
      <c r="F935" s="11"/>
      <c r="G935" s="8"/>
      <c r="H935" s="8"/>
      <c r="I935" s="8"/>
      <c r="J935" s="8"/>
    </row>
    <row r="936" spans="1:10" x14ac:dyDescent="0.3">
      <c r="A936" s="7"/>
      <c r="B936" s="8"/>
      <c r="C936" s="8"/>
      <c r="D936" s="9"/>
      <c r="E936" s="10"/>
      <c r="F936" s="11"/>
      <c r="G936" s="8"/>
      <c r="H936" s="8"/>
      <c r="I936" s="8"/>
      <c r="J936" s="8"/>
    </row>
    <row r="937" spans="1:10" x14ac:dyDescent="0.3">
      <c r="A937" s="7"/>
      <c r="B937" s="8"/>
      <c r="C937" s="8"/>
      <c r="D937" s="9"/>
      <c r="E937" s="10"/>
      <c r="F937" s="11"/>
      <c r="G937" s="8"/>
      <c r="H937" s="8"/>
      <c r="I937" s="8"/>
      <c r="J937" s="8"/>
    </row>
    <row r="938" spans="1:10" x14ac:dyDescent="0.3">
      <c r="A938" s="7"/>
      <c r="B938" s="8"/>
      <c r="C938" s="8"/>
      <c r="D938" s="9"/>
      <c r="E938" s="10"/>
      <c r="F938" s="11"/>
      <c r="G938" s="8"/>
      <c r="H938" s="8"/>
      <c r="I938" s="8"/>
      <c r="J938" s="8"/>
    </row>
    <row r="939" spans="1:10" x14ac:dyDescent="0.3">
      <c r="A939" s="7"/>
      <c r="B939" s="8"/>
      <c r="C939" s="8"/>
      <c r="D939" s="9"/>
      <c r="E939" s="10"/>
      <c r="F939" s="11"/>
      <c r="G939" s="8"/>
      <c r="H939" s="8"/>
      <c r="I939" s="8"/>
      <c r="J939" s="8"/>
    </row>
    <row r="940" spans="1:10" x14ac:dyDescent="0.3">
      <c r="A940" s="7"/>
      <c r="B940" s="8"/>
      <c r="C940" s="8"/>
      <c r="D940" s="9"/>
      <c r="E940" s="10"/>
      <c r="F940" s="11"/>
      <c r="G940" s="8"/>
      <c r="H940" s="8"/>
      <c r="I940" s="8"/>
      <c r="J940" s="8"/>
    </row>
    <row r="941" spans="1:10" x14ac:dyDescent="0.3">
      <c r="A941" s="7"/>
      <c r="B941" s="8"/>
      <c r="C941" s="8"/>
      <c r="D941" s="9"/>
      <c r="E941" s="10"/>
      <c r="F941" s="11"/>
      <c r="G941" s="8"/>
      <c r="H941" s="8"/>
      <c r="I941" s="8"/>
      <c r="J941" s="8"/>
    </row>
    <row r="942" spans="1:10" x14ac:dyDescent="0.3">
      <c r="A942" s="7"/>
      <c r="B942" s="8"/>
      <c r="C942" s="8"/>
      <c r="D942" s="9"/>
      <c r="E942" s="10"/>
      <c r="F942" s="11"/>
      <c r="G942" s="8"/>
      <c r="H942" s="8"/>
      <c r="I942" s="8"/>
      <c r="J942" s="8"/>
    </row>
    <row r="943" spans="1:10" x14ac:dyDescent="0.3">
      <c r="A943" s="7"/>
      <c r="B943" s="8"/>
      <c r="C943" s="8"/>
      <c r="D943" s="9"/>
      <c r="E943" s="10"/>
      <c r="F943" s="11"/>
      <c r="G943" s="8"/>
      <c r="H943" s="8"/>
      <c r="I943" s="8"/>
      <c r="J943" s="8"/>
    </row>
    <row r="944" spans="1:10" x14ac:dyDescent="0.3">
      <c r="A944" s="7"/>
      <c r="B944" s="8"/>
      <c r="C944" s="8"/>
      <c r="D944" s="9"/>
      <c r="E944" s="10"/>
      <c r="F944" s="11"/>
      <c r="G944" s="8"/>
      <c r="H944" s="8"/>
      <c r="I944" s="8"/>
      <c r="J944" s="8"/>
    </row>
    <row r="945" spans="1:10" x14ac:dyDescent="0.3">
      <c r="A945" s="7"/>
      <c r="B945" s="8"/>
      <c r="C945" s="8"/>
      <c r="D945" s="9"/>
      <c r="E945" s="10"/>
      <c r="F945" s="11"/>
      <c r="G945" s="8"/>
      <c r="H945" s="8"/>
      <c r="I945" s="8"/>
      <c r="J945" s="8"/>
    </row>
    <row r="946" spans="1:10" x14ac:dyDescent="0.3">
      <c r="A946" s="7"/>
      <c r="B946" s="8"/>
      <c r="C946" s="8"/>
      <c r="D946" s="9"/>
      <c r="E946" s="10"/>
      <c r="F946" s="11"/>
      <c r="G946" s="8"/>
      <c r="H946" s="8"/>
      <c r="I946" s="8"/>
      <c r="J946" s="8"/>
    </row>
    <row r="947" spans="1:10" x14ac:dyDescent="0.3">
      <c r="A947" s="7"/>
      <c r="B947" s="8"/>
      <c r="C947" s="8"/>
      <c r="D947" s="9"/>
      <c r="E947" s="10"/>
      <c r="F947" s="11"/>
      <c r="G947" s="8"/>
      <c r="H947" s="8"/>
      <c r="I947" s="8"/>
      <c r="J947" s="8"/>
    </row>
    <row r="948" spans="1:10" x14ac:dyDescent="0.3">
      <c r="A948" s="7"/>
      <c r="B948" s="8"/>
      <c r="C948" s="8"/>
      <c r="D948" s="9"/>
      <c r="E948" s="10"/>
      <c r="F948" s="11"/>
      <c r="G948" s="8"/>
      <c r="H948" s="8"/>
      <c r="I948" s="8"/>
      <c r="J948" s="8"/>
    </row>
    <row r="949" spans="1:10" x14ac:dyDescent="0.3">
      <c r="A949" s="7"/>
      <c r="B949" s="8"/>
      <c r="C949" s="8"/>
      <c r="D949" s="9"/>
      <c r="E949" s="10"/>
      <c r="F949" s="11"/>
      <c r="G949" s="8"/>
      <c r="H949" s="8"/>
      <c r="I949" s="8"/>
      <c r="J949" s="8"/>
    </row>
    <row r="950" spans="1:10" x14ac:dyDescent="0.3">
      <c r="A950" s="7"/>
      <c r="B950" s="8"/>
      <c r="C950" s="8"/>
      <c r="D950" s="9"/>
      <c r="E950" s="10"/>
      <c r="F950" s="11"/>
      <c r="G950" s="8"/>
      <c r="H950" s="8"/>
      <c r="I950" s="8"/>
      <c r="J950" s="8"/>
    </row>
    <row r="951" spans="1:10" x14ac:dyDescent="0.3">
      <c r="A951" s="7"/>
      <c r="B951" s="8"/>
      <c r="C951" s="8"/>
      <c r="D951" s="9"/>
      <c r="E951" s="10"/>
      <c r="F951" s="11"/>
      <c r="G951" s="8"/>
      <c r="H951" s="8"/>
      <c r="I951" s="8"/>
      <c r="J951" s="8"/>
    </row>
    <row r="952" spans="1:10" x14ac:dyDescent="0.3">
      <c r="A952" s="7"/>
      <c r="B952" s="8"/>
      <c r="C952" s="8"/>
      <c r="D952" s="9"/>
      <c r="E952" s="10"/>
      <c r="F952" s="11"/>
      <c r="G952" s="8"/>
      <c r="H952" s="8"/>
      <c r="I952" s="8"/>
      <c r="J952" s="8"/>
    </row>
    <row r="953" spans="1:10" x14ac:dyDescent="0.3">
      <c r="A953" s="7"/>
      <c r="B953" s="8"/>
      <c r="C953" s="8"/>
      <c r="D953" s="9"/>
      <c r="E953" s="10"/>
      <c r="F953" s="11"/>
      <c r="G953" s="8"/>
      <c r="H953" s="8"/>
      <c r="I953" s="8"/>
      <c r="J953" s="8"/>
    </row>
    <row r="954" spans="1:10" x14ac:dyDescent="0.3">
      <c r="A954" s="7"/>
      <c r="B954" s="8"/>
      <c r="C954" s="8"/>
      <c r="D954" s="9"/>
      <c r="E954" s="10"/>
      <c r="F954" s="11"/>
      <c r="G954" s="8"/>
      <c r="H954" s="8"/>
      <c r="I954" s="8"/>
      <c r="J954" s="8"/>
    </row>
    <row r="955" spans="1:10" x14ac:dyDescent="0.3">
      <c r="A955" s="7"/>
      <c r="B955" s="8"/>
      <c r="C955" s="8"/>
      <c r="D955" s="9"/>
      <c r="E955" s="10"/>
      <c r="F955" s="11"/>
      <c r="G955" s="8"/>
      <c r="H955" s="8"/>
      <c r="I955" s="8"/>
      <c r="J955" s="8"/>
    </row>
    <row r="956" spans="1:10" x14ac:dyDescent="0.3">
      <c r="A956" s="7"/>
      <c r="B956" s="8"/>
      <c r="C956" s="8"/>
      <c r="D956" s="9"/>
      <c r="E956" s="10"/>
      <c r="F956" s="11"/>
      <c r="G956" s="8"/>
      <c r="H956" s="8"/>
      <c r="I956" s="8"/>
      <c r="J956" s="8"/>
    </row>
    <row r="957" spans="1:10" x14ac:dyDescent="0.3">
      <c r="A957" s="7"/>
      <c r="B957" s="8"/>
      <c r="C957" s="8"/>
      <c r="D957" s="9"/>
      <c r="E957" s="10"/>
      <c r="F957" s="11"/>
      <c r="G957" s="8"/>
      <c r="H957" s="8"/>
      <c r="I957" s="8"/>
      <c r="J957" s="8"/>
    </row>
    <row r="958" spans="1:10" x14ac:dyDescent="0.3">
      <c r="A958" s="7"/>
      <c r="B958" s="8"/>
      <c r="C958" s="8"/>
      <c r="D958" s="9"/>
      <c r="E958" s="10"/>
      <c r="F958" s="11"/>
      <c r="G958" s="8"/>
      <c r="H958" s="8"/>
      <c r="I958" s="8"/>
      <c r="J958" s="8"/>
    </row>
    <row r="959" spans="1:10" x14ac:dyDescent="0.3">
      <c r="A959" s="7"/>
      <c r="B959" s="8"/>
      <c r="C959" s="8"/>
      <c r="D959" s="9"/>
      <c r="E959" s="10"/>
      <c r="F959" s="11"/>
      <c r="G959" s="8"/>
      <c r="H959" s="8"/>
      <c r="I959" s="8"/>
      <c r="J959" s="8"/>
    </row>
    <row r="960" spans="1:10" x14ac:dyDescent="0.3">
      <c r="A960" s="7"/>
      <c r="B960" s="8"/>
      <c r="C960" s="8"/>
      <c r="D960" s="9"/>
      <c r="E960" s="10"/>
      <c r="F960" s="11"/>
      <c r="G960" s="8"/>
      <c r="H960" s="8"/>
      <c r="I960" s="8"/>
      <c r="J960" s="8"/>
    </row>
    <row r="961" spans="1:10" x14ac:dyDescent="0.3">
      <c r="A961" s="7"/>
      <c r="B961" s="8"/>
      <c r="C961" s="8"/>
      <c r="D961" s="9"/>
      <c r="E961" s="10"/>
      <c r="F961" s="11"/>
      <c r="G961" s="8"/>
      <c r="H961" s="8"/>
      <c r="I961" s="8"/>
      <c r="J961" s="8"/>
    </row>
    <row r="962" spans="1:10" x14ac:dyDescent="0.3">
      <c r="A962" s="7"/>
      <c r="B962" s="8"/>
      <c r="C962" s="8"/>
      <c r="D962" s="9"/>
      <c r="E962" s="10"/>
      <c r="F962" s="11"/>
      <c r="G962" s="8"/>
      <c r="H962" s="8"/>
      <c r="I962" s="8"/>
      <c r="J962" s="8"/>
    </row>
    <row r="963" spans="1:10" x14ac:dyDescent="0.3">
      <c r="A963" s="7"/>
      <c r="B963" s="8"/>
      <c r="C963" s="8"/>
      <c r="D963" s="9"/>
      <c r="E963" s="10"/>
      <c r="F963" s="11"/>
      <c r="G963" s="8"/>
      <c r="H963" s="8"/>
      <c r="I963" s="8"/>
      <c r="J963" s="8"/>
    </row>
    <row r="964" spans="1:10" x14ac:dyDescent="0.3">
      <c r="A964" s="7"/>
      <c r="B964" s="8"/>
      <c r="C964" s="8"/>
      <c r="D964" s="9"/>
      <c r="E964" s="10"/>
      <c r="F964" s="11"/>
      <c r="G964" s="8"/>
      <c r="H964" s="8"/>
      <c r="I964" s="8"/>
      <c r="J964" s="8"/>
    </row>
    <row r="965" spans="1:10" x14ac:dyDescent="0.3">
      <c r="A965" s="7"/>
      <c r="B965" s="8"/>
      <c r="C965" s="8"/>
      <c r="D965" s="9"/>
      <c r="E965" s="10"/>
      <c r="F965" s="11"/>
      <c r="G965" s="8"/>
      <c r="H965" s="8"/>
      <c r="I965" s="8"/>
      <c r="J965" s="8"/>
    </row>
    <row r="966" spans="1:10" x14ac:dyDescent="0.3">
      <c r="A966" s="7"/>
      <c r="B966" s="8"/>
      <c r="C966" s="8"/>
      <c r="D966" s="9"/>
      <c r="E966" s="10"/>
      <c r="F966" s="11"/>
      <c r="G966" s="8"/>
      <c r="H966" s="8"/>
      <c r="I966" s="8"/>
      <c r="J966" s="8"/>
    </row>
    <row r="967" spans="1:10" x14ac:dyDescent="0.3">
      <c r="A967" s="7"/>
      <c r="B967" s="8"/>
      <c r="C967" s="8"/>
      <c r="D967" s="9"/>
      <c r="E967" s="10"/>
      <c r="F967" s="11"/>
      <c r="G967" s="8"/>
      <c r="H967" s="8"/>
      <c r="I967" s="8"/>
      <c r="J967" s="8"/>
    </row>
    <row r="968" spans="1:10" x14ac:dyDescent="0.3">
      <c r="A968" s="7"/>
      <c r="B968" s="8"/>
      <c r="C968" s="8"/>
      <c r="D968" s="9"/>
      <c r="E968" s="10"/>
      <c r="F968" s="11"/>
      <c r="G968" s="8"/>
      <c r="H968" s="8"/>
      <c r="I968" s="8"/>
      <c r="J968" s="8"/>
    </row>
    <row r="969" spans="1:10" x14ac:dyDescent="0.3">
      <c r="A969" s="7"/>
      <c r="B969" s="8"/>
      <c r="C969" s="8"/>
      <c r="D969" s="9"/>
      <c r="E969" s="10"/>
      <c r="F969" s="11"/>
      <c r="G969" s="8"/>
      <c r="H969" s="8"/>
      <c r="I969" s="8"/>
      <c r="J969" s="8"/>
    </row>
    <row r="970" spans="1:10" x14ac:dyDescent="0.3">
      <c r="A970" s="7"/>
      <c r="B970" s="8"/>
      <c r="C970" s="8"/>
      <c r="D970" s="9"/>
      <c r="E970" s="10"/>
      <c r="F970" s="11"/>
      <c r="G970" s="8"/>
      <c r="H970" s="8"/>
      <c r="I970" s="8"/>
      <c r="J970" s="8"/>
    </row>
    <row r="971" spans="1:10" x14ac:dyDescent="0.3">
      <c r="A971" s="7"/>
      <c r="B971" s="8"/>
      <c r="C971" s="8"/>
      <c r="D971" s="9"/>
      <c r="E971" s="10"/>
      <c r="F971" s="11"/>
      <c r="G971" s="8"/>
      <c r="H971" s="8"/>
      <c r="I971" s="8"/>
      <c r="J971" s="8"/>
    </row>
    <row r="972" spans="1:10" x14ac:dyDescent="0.3">
      <c r="A972" s="7"/>
      <c r="B972" s="8"/>
      <c r="C972" s="8"/>
      <c r="D972" s="9"/>
      <c r="E972" s="10"/>
      <c r="F972" s="11"/>
      <c r="G972" s="8"/>
      <c r="H972" s="8"/>
      <c r="I972" s="8"/>
      <c r="J972" s="8"/>
    </row>
    <row r="973" spans="1:10" x14ac:dyDescent="0.3">
      <c r="A973" s="7"/>
      <c r="B973" s="8"/>
      <c r="C973" s="8"/>
      <c r="D973" s="9"/>
      <c r="E973" s="10"/>
      <c r="F973" s="11"/>
      <c r="G973" s="8"/>
      <c r="H973" s="8"/>
      <c r="I973" s="8"/>
      <c r="J973" s="8"/>
    </row>
    <row r="974" spans="1:10" x14ac:dyDescent="0.3">
      <c r="A974" s="7"/>
      <c r="B974" s="8"/>
      <c r="C974" s="8"/>
      <c r="D974" s="9"/>
      <c r="E974" s="10"/>
      <c r="F974" s="11"/>
      <c r="G974" s="8"/>
      <c r="H974" s="8"/>
      <c r="I974" s="8"/>
      <c r="J974" s="8"/>
    </row>
    <row r="975" spans="1:10" x14ac:dyDescent="0.3">
      <c r="A975" s="7"/>
      <c r="B975" s="8"/>
      <c r="C975" s="8"/>
      <c r="D975" s="9"/>
      <c r="E975" s="10"/>
      <c r="F975" s="11"/>
      <c r="G975" s="8"/>
      <c r="H975" s="8"/>
      <c r="I975" s="8"/>
      <c r="J975" s="8"/>
    </row>
    <row r="976" spans="1:10" x14ac:dyDescent="0.3">
      <c r="A976" s="7"/>
      <c r="B976" s="8"/>
      <c r="C976" s="8"/>
      <c r="D976" s="9"/>
      <c r="E976" s="10"/>
      <c r="F976" s="11"/>
      <c r="G976" s="8"/>
      <c r="H976" s="8"/>
      <c r="I976" s="8"/>
      <c r="J976" s="8"/>
    </row>
    <row r="977" spans="1:10" x14ac:dyDescent="0.3">
      <c r="A977" s="7"/>
      <c r="B977" s="8"/>
      <c r="C977" s="8"/>
      <c r="D977" s="9"/>
      <c r="E977" s="10"/>
      <c r="F977" s="11"/>
      <c r="G977" s="8"/>
      <c r="H977" s="8"/>
      <c r="I977" s="8"/>
      <c r="J977" s="8"/>
    </row>
    <row r="978" spans="1:10" x14ac:dyDescent="0.3">
      <c r="A978" s="7"/>
      <c r="B978" s="8"/>
      <c r="C978" s="8"/>
      <c r="D978" s="9"/>
      <c r="E978" s="10"/>
      <c r="F978" s="11"/>
      <c r="G978" s="8"/>
      <c r="H978" s="8"/>
      <c r="I978" s="8"/>
      <c r="J978" s="8"/>
    </row>
    <row r="979" spans="1:10" x14ac:dyDescent="0.3">
      <c r="A979" s="7"/>
      <c r="B979" s="8"/>
      <c r="C979" s="8"/>
      <c r="D979" s="9"/>
      <c r="E979" s="10"/>
      <c r="F979" s="11"/>
      <c r="G979" s="8"/>
      <c r="H979" s="8"/>
      <c r="I979" s="8"/>
      <c r="J979" s="8"/>
    </row>
    <row r="980" spans="1:10" x14ac:dyDescent="0.3">
      <c r="A980" s="7"/>
      <c r="B980" s="8"/>
      <c r="C980" s="8"/>
      <c r="D980" s="9"/>
      <c r="E980" s="10"/>
      <c r="F980" s="11"/>
      <c r="G980" s="8"/>
      <c r="H980" s="8"/>
      <c r="I980" s="8"/>
      <c r="J980" s="8"/>
    </row>
    <row r="981" spans="1:10" x14ac:dyDescent="0.3">
      <c r="A981" s="7"/>
      <c r="B981" s="8"/>
      <c r="C981" s="8"/>
      <c r="D981" s="9"/>
      <c r="E981" s="10"/>
      <c r="F981" s="11"/>
      <c r="G981" s="8"/>
      <c r="H981" s="8"/>
      <c r="I981" s="8"/>
      <c r="J981" s="8"/>
    </row>
    <row r="982" spans="1:10" x14ac:dyDescent="0.3">
      <c r="A982" s="7"/>
      <c r="B982" s="8"/>
      <c r="C982" s="8"/>
      <c r="D982" s="9"/>
      <c r="E982" s="10"/>
      <c r="F982" s="11"/>
      <c r="G982" s="8"/>
      <c r="H982" s="8"/>
      <c r="I982" s="8"/>
      <c r="J982" s="8"/>
    </row>
    <row r="983" spans="1:10" x14ac:dyDescent="0.3">
      <c r="A983" s="7"/>
      <c r="B983" s="8"/>
      <c r="C983" s="8"/>
      <c r="D983" s="9"/>
      <c r="E983" s="10"/>
      <c r="F983" s="11"/>
      <c r="G983" s="8"/>
      <c r="H983" s="8"/>
      <c r="I983" s="8"/>
      <c r="J983" s="8"/>
    </row>
    <row r="984" spans="1:10" x14ac:dyDescent="0.3">
      <c r="A984" s="7"/>
      <c r="B984" s="8"/>
      <c r="C984" s="8"/>
      <c r="D984" s="9"/>
      <c r="E984" s="10"/>
      <c r="F984" s="11"/>
      <c r="G984" s="8"/>
      <c r="H984" s="8"/>
      <c r="I984" s="8"/>
      <c r="J984" s="8"/>
    </row>
    <row r="985" spans="1:10" x14ac:dyDescent="0.3">
      <c r="A985" s="7"/>
      <c r="B985" s="8"/>
      <c r="C985" s="8"/>
      <c r="D985" s="9"/>
      <c r="E985" s="10"/>
      <c r="F985" s="11"/>
      <c r="G985" s="8"/>
      <c r="H985" s="8"/>
      <c r="I985" s="8"/>
      <c r="J985" s="8"/>
    </row>
    <row r="986" spans="1:10" x14ac:dyDescent="0.3">
      <c r="A986" s="7"/>
      <c r="B986" s="8"/>
      <c r="C986" s="8"/>
      <c r="D986" s="9"/>
      <c r="E986" s="10"/>
      <c r="F986" s="11"/>
      <c r="G986" s="8"/>
      <c r="H986" s="8"/>
      <c r="I986" s="8"/>
      <c r="J986" s="8"/>
    </row>
    <row r="987" spans="1:10" x14ac:dyDescent="0.3">
      <c r="A987" s="7"/>
      <c r="B987" s="8"/>
      <c r="C987" s="8"/>
      <c r="D987" s="9"/>
      <c r="E987" s="10"/>
      <c r="F987" s="11"/>
      <c r="G987" s="8"/>
      <c r="H987" s="8"/>
      <c r="I987" s="8"/>
      <c r="J987" s="8"/>
    </row>
    <row r="988" spans="1:10" x14ac:dyDescent="0.3">
      <c r="A988" s="7"/>
      <c r="B988" s="8"/>
      <c r="C988" s="8"/>
      <c r="D988" s="9"/>
      <c r="E988" s="10"/>
      <c r="F988" s="11"/>
      <c r="G988" s="8"/>
      <c r="H988" s="8"/>
      <c r="I988" s="8"/>
      <c r="J988" s="8"/>
    </row>
    <row r="989" spans="1:10" x14ac:dyDescent="0.3">
      <c r="A989" s="7"/>
      <c r="B989" s="8"/>
      <c r="C989" s="8"/>
      <c r="D989" s="9"/>
      <c r="E989" s="10"/>
      <c r="F989" s="11"/>
      <c r="G989" s="8"/>
      <c r="H989" s="8"/>
      <c r="I989" s="8"/>
      <c r="J989" s="8"/>
    </row>
    <row r="990" spans="1:10" x14ac:dyDescent="0.3">
      <c r="A990" s="7"/>
      <c r="B990" s="8"/>
      <c r="C990" s="8"/>
      <c r="D990" s="9"/>
      <c r="E990" s="10"/>
      <c r="F990" s="11"/>
      <c r="G990" s="8"/>
      <c r="H990" s="8"/>
      <c r="I990" s="8"/>
      <c r="J990" s="8"/>
    </row>
    <row r="991" spans="1:10" x14ac:dyDescent="0.3">
      <c r="A991" s="7"/>
      <c r="B991" s="8"/>
      <c r="C991" s="8"/>
      <c r="D991" s="9"/>
      <c r="E991" s="10"/>
      <c r="F991" s="11"/>
      <c r="G991" s="8"/>
      <c r="H991" s="8"/>
      <c r="I991" s="8"/>
      <c r="J991" s="8"/>
    </row>
    <row r="992" spans="1:10" x14ac:dyDescent="0.3">
      <c r="A992" s="7"/>
      <c r="B992" s="8"/>
      <c r="C992" s="8"/>
      <c r="D992" s="9"/>
      <c r="E992" s="10"/>
      <c r="F992" s="11"/>
      <c r="G992" s="8"/>
      <c r="H992" s="8"/>
      <c r="I992" s="8"/>
      <c r="J992" s="8"/>
    </row>
    <row r="993" spans="1:10" x14ac:dyDescent="0.3">
      <c r="A993" s="7"/>
      <c r="B993" s="8"/>
      <c r="C993" s="8"/>
      <c r="D993" s="9"/>
      <c r="E993" s="10"/>
      <c r="F993" s="11"/>
      <c r="G993" s="8"/>
      <c r="H993" s="8"/>
      <c r="I993" s="8"/>
      <c r="J993" s="8"/>
    </row>
    <row r="994" spans="1:10" x14ac:dyDescent="0.3">
      <c r="A994" s="7"/>
      <c r="B994" s="8"/>
      <c r="C994" s="8"/>
      <c r="D994" s="9"/>
      <c r="E994" s="10"/>
      <c r="F994" s="11"/>
      <c r="G994" s="8"/>
      <c r="H994" s="8"/>
      <c r="I994" s="8"/>
      <c r="J994" s="8"/>
    </row>
    <row r="995" spans="1:10" x14ac:dyDescent="0.3">
      <c r="A995" s="7"/>
      <c r="B995" s="8"/>
      <c r="C995" s="8"/>
      <c r="D995" s="9"/>
      <c r="E995" s="10"/>
      <c r="F995" s="11"/>
      <c r="G995" s="8"/>
      <c r="H995" s="8"/>
      <c r="I995" s="8"/>
      <c r="J995" s="8"/>
    </row>
    <row r="996" spans="1:10" x14ac:dyDescent="0.3">
      <c r="A996" s="7"/>
      <c r="B996" s="8"/>
      <c r="C996" s="8"/>
      <c r="D996" s="9"/>
      <c r="E996" s="10"/>
      <c r="F996" s="11"/>
      <c r="G996" s="8"/>
      <c r="H996" s="8"/>
      <c r="I996" s="8"/>
      <c r="J996" s="8"/>
    </row>
    <row r="997" spans="1:10" x14ac:dyDescent="0.3">
      <c r="A997" s="7"/>
      <c r="B997" s="8"/>
      <c r="C997" s="8"/>
      <c r="D997" s="9"/>
      <c r="E997" s="10"/>
      <c r="F997" s="11"/>
      <c r="G997" s="8"/>
      <c r="H997" s="8"/>
      <c r="I997" s="8"/>
      <c r="J997" s="8"/>
    </row>
    <row r="998" spans="1:10" x14ac:dyDescent="0.3">
      <c r="A998" s="7"/>
      <c r="B998" s="8"/>
      <c r="C998" s="8"/>
      <c r="D998" s="9"/>
      <c r="E998" s="10"/>
      <c r="F998" s="11"/>
      <c r="G998" s="8"/>
      <c r="H998" s="8"/>
      <c r="I998" s="8"/>
      <c r="J998" s="8"/>
    </row>
    <row r="999" spans="1:10" x14ac:dyDescent="0.3">
      <c r="A999" s="7"/>
      <c r="B999" s="8"/>
      <c r="C999" s="8"/>
      <c r="D999" s="9"/>
      <c r="E999" s="10"/>
      <c r="F999" s="11"/>
      <c r="G999" s="8"/>
      <c r="H999" s="8"/>
      <c r="I999" s="8"/>
      <c r="J999" s="8"/>
    </row>
  </sheetData>
  <sheetProtection algorithmName="SHA-512" hashValue="XhHMfybDcesuSCWpPoxXidZ6VrtENCgD988w9q6tCQyVq0TnA//XXHGq47pJ0u8S+/qLf5dyhV0WZwR/jWH+hQ==" saltValue="MLSB01e91mpFVQZptNE75g==" spinCount="100000" sheet="1" objects="1" scenarios="1"/>
  <mergeCells count="2">
    <mergeCell ref="A2:J2"/>
    <mergeCell ref="A1:J1"/>
  </mergeCells>
  <conditionalFormatting sqref="J5:J999">
    <cfRule type="cellIs" dxfId="4" priority="7" operator="equal">
      <formula>"Active"</formula>
    </cfRule>
    <cfRule type="cellIs" dxfId="3" priority="8" operator="equal">
      <formula>"Inactive"</formula>
    </cfRule>
  </conditionalFormatting>
  <dataValidations count="1">
    <dataValidation type="list" errorTitle="Invalid Status" error="Please select: Active or Inactive" promptTitle="Active/Inactive" prompt="Select investor status" sqref="J5:J999" xr:uid="{00000000-0002-0000-0100-000002000000}">
      <formula1>"Active,Inactive"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1000"/>
  <sheetViews>
    <sheetView tabSelected="1" workbookViewId="0">
      <selection activeCell="D11" sqref="D11"/>
    </sheetView>
  </sheetViews>
  <sheetFormatPr defaultRowHeight="14.4" x14ac:dyDescent="0.3"/>
  <cols>
    <col min="1" max="1" width="12" customWidth="1"/>
    <col min="2" max="2" width="25" customWidth="1"/>
    <col min="3" max="3" width="15" customWidth="1"/>
    <col min="4" max="4" width="18" customWidth="1"/>
    <col min="5" max="5" width="15" style="54" customWidth="1"/>
    <col min="6" max="6" width="18" customWidth="1"/>
    <col min="7" max="7" width="20" customWidth="1"/>
    <col min="8" max="8" width="15" customWidth="1"/>
  </cols>
  <sheetData>
    <row r="1" spans="1:8" ht="23.4" x14ac:dyDescent="0.3">
      <c r="A1" s="53" t="s">
        <v>28</v>
      </c>
      <c r="B1" s="20"/>
      <c r="C1" s="20"/>
      <c r="D1" s="20"/>
      <c r="E1" s="20"/>
      <c r="F1" s="20"/>
      <c r="G1" s="20"/>
      <c r="H1" s="20"/>
    </row>
    <row r="2" spans="1:8" x14ac:dyDescent="0.3">
      <c r="A2" s="52" t="s">
        <v>29</v>
      </c>
      <c r="B2" s="20"/>
      <c r="C2" s="20"/>
      <c r="D2" s="20"/>
      <c r="E2" s="20"/>
      <c r="F2" s="20"/>
      <c r="G2" s="20"/>
      <c r="H2" s="20"/>
    </row>
    <row r="3" spans="1:8" x14ac:dyDescent="0.3">
      <c r="E3"/>
    </row>
    <row r="4" spans="1:8" x14ac:dyDescent="0.3">
      <c r="A4" s="12" t="s">
        <v>30</v>
      </c>
      <c r="B4" s="12" t="s">
        <v>17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</row>
    <row r="5" spans="1:8" x14ac:dyDescent="0.3">
      <c r="A5" s="13">
        <v>1</v>
      </c>
      <c r="B5" s="16" t="str">
        <f>IF($A5=InvestorTable[[#This Row],[Investor Tally '#]],InvestorTable[[#This Row],[Investor Name]], NA())</f>
        <v>Sample 1</v>
      </c>
      <c r="C5" s="14" t="s">
        <v>37</v>
      </c>
      <c r="D5" s="17" cm="1">
        <f t="array" ref="D5">_xlfn.IFS(AND(InvestorTable[[#This Row],[Investor Tally '#]] = 'Payment Tracker'!$A5, 'Payment Tracker'!$C5="Dividend") = TRUE, InvestorTable[[#This Row],[Monthly ROI (₦)]], AND(InvestorTable[[#This Row],[Investor Tally '#]] = 'Payment Tracker'!$A5, 'Payment Tracker'!$C5="Capital") = TRUE, InvestorTable[[#This Row],[Investment Capital (₦)]], AND(InvestorTable[[#This Row],[Investor Tally '#]] = 'Payment Tracker'!$A5, 'Payment Tracker'!$C5="Refund") = TRUE, InvestorTable[[#This Row],[Investment Capital (₦)]] )</f>
        <v>60000</v>
      </c>
      <c r="E5" s="15">
        <v>46361</v>
      </c>
      <c r="F5" s="14" t="s">
        <v>38</v>
      </c>
      <c r="G5" s="14" t="s">
        <v>39</v>
      </c>
      <c r="H5" s="14" t="s">
        <v>40</v>
      </c>
    </row>
    <row r="6" spans="1:8" x14ac:dyDescent="0.3">
      <c r="A6" s="13">
        <v>2</v>
      </c>
      <c r="B6" s="16" t="str">
        <f>IF($A6=InvestorTable[[#This Row],[Investor Tally '#]],InvestorTable[[#This Row],[Investor Name]], NA())</f>
        <v>Sample 2</v>
      </c>
      <c r="C6" s="14" t="s">
        <v>37</v>
      </c>
      <c r="D6" s="17" cm="1">
        <f t="array" ref="D6">_xlfn.IFS(AND(InvestorTable[[#This Row],[Investor Tally '#]] = 'Payment Tracker'!$A6, 'Payment Tracker'!$C6="Dividend") = TRUE, InvestorTable[[#This Row],[Monthly ROI (₦)]], AND(InvestorTable[[#This Row],[Investor Tally '#]] = 'Payment Tracker'!$A6, 'Payment Tracker'!$C6="Capital") = TRUE, InvestorTable[[#This Row],[Investment Capital (₦)]], AND(InvestorTable[[#This Row],[Investor Tally '#]] = 'Payment Tracker'!$A6, 'Payment Tracker'!$C6="Refund") = TRUE, InvestorTable[[#This Row],[Investment Capital (₦)]] )</f>
        <v>50000</v>
      </c>
      <c r="E6" s="15">
        <v>46331</v>
      </c>
      <c r="F6" s="14" t="s">
        <v>38</v>
      </c>
      <c r="G6" s="14" t="s">
        <v>44</v>
      </c>
      <c r="H6" s="14" t="s">
        <v>40</v>
      </c>
    </row>
    <row r="7" spans="1:8" x14ac:dyDescent="0.3">
      <c r="A7" s="13">
        <v>3</v>
      </c>
      <c r="B7" s="16" t="str">
        <f>IF($A7=InvestorTable[[#This Row],[Investor Tally '#]],InvestorTable[[#This Row],[Investor Name]], NA())</f>
        <v>Sample 3</v>
      </c>
      <c r="C7" s="14" t="s">
        <v>43</v>
      </c>
      <c r="D7" s="17" cm="1">
        <f t="array" ref="D7">_xlfn.IFS(AND(InvestorTable[[#This Row],[Investor Tally '#]] = 'Payment Tracker'!$A7, 'Payment Tracker'!$C7="Dividend") = TRUE, InvestorTable[[#This Row],[Monthly ROI (₦)]], AND(InvestorTable[[#This Row],[Investor Tally '#]] = 'Payment Tracker'!$A7, 'Payment Tracker'!$C7="Capital") = TRUE, InvestorTable[[#This Row],[Investment Capital (₦)]], AND(InvestorTable[[#This Row],[Investor Tally '#]] = 'Payment Tracker'!$A7, 'Payment Tracker'!$C7="Refund") = TRUE, InvestorTable[[#This Row],[Investment Capital (₦)]] )</f>
        <v>1000000</v>
      </c>
      <c r="E7" s="15"/>
      <c r="F7" s="14"/>
      <c r="G7" s="14"/>
      <c r="H7" s="14" t="s">
        <v>40</v>
      </c>
    </row>
    <row r="8" spans="1:8" x14ac:dyDescent="0.3">
      <c r="A8" s="13"/>
      <c r="B8" s="16">
        <f>IF($A8=InvestorTable[[#This Row],[Investor Tally '#]],InvestorTable[[#This Row],[Investor Name]], NA())</f>
        <v>0</v>
      </c>
      <c r="C8" s="14"/>
      <c r="D8" s="17" t="e" cm="1">
        <f t="array" ref="D8">_xlfn.IFS(AND(InvestorTable[[#This Row],[Investor Tally '#]] = 'Payment Tracker'!$A8, 'Payment Tracker'!$C8="Dividend") = TRUE, InvestorTable[[#This Row],[Monthly ROI (₦)]], AND(InvestorTable[[#This Row],[Investor Tally '#]] = 'Payment Tracker'!$A8, 'Payment Tracker'!$C8="Capital") = TRUE, InvestorTable[[#This Row],[Investment Capital (₦)]], AND(InvestorTable[[#This Row],[Investor Tally '#]] = 'Payment Tracker'!$A8, 'Payment Tracker'!$C8="Refund") = TRUE, InvestorTable[[#This Row],[Investment Capital (₦)]] )</f>
        <v>#N/A</v>
      </c>
      <c r="E8" s="15"/>
      <c r="F8" s="14"/>
      <c r="G8" s="14"/>
      <c r="H8" s="14"/>
    </row>
    <row r="9" spans="1:8" x14ac:dyDescent="0.3">
      <c r="A9" s="13"/>
      <c r="B9" s="16">
        <f>IF($A9=InvestorTable[[#This Row],[Investor Tally '#]],InvestorTable[[#This Row],[Investor Name]], NA())</f>
        <v>0</v>
      </c>
      <c r="C9" s="14"/>
      <c r="D9" s="17" t="e" cm="1">
        <f t="array" ref="D9">_xlfn.IFS(AND(InvestorTable[[#This Row],[Investor Tally '#]] = 'Payment Tracker'!$A9, 'Payment Tracker'!$C9="Dividend") = TRUE, InvestorTable[[#This Row],[Monthly ROI (₦)]], AND(InvestorTable[[#This Row],[Investor Tally '#]] = 'Payment Tracker'!$A9, 'Payment Tracker'!$C9="Capital") = TRUE, InvestorTable[[#This Row],[Investment Capital (₦)]], AND(InvestorTable[[#This Row],[Investor Tally '#]] = 'Payment Tracker'!$A9, 'Payment Tracker'!$C9="Refund") = TRUE, InvestorTable[[#This Row],[Investment Capital (₦)]] )</f>
        <v>#N/A</v>
      </c>
      <c r="E9" s="15"/>
      <c r="F9" s="14"/>
      <c r="G9" s="14"/>
      <c r="H9" s="14"/>
    </row>
    <row r="10" spans="1:8" x14ac:dyDescent="0.3">
      <c r="A10" s="13"/>
      <c r="B10" s="16">
        <f>IF($A10=InvestorTable[[#This Row],[Investor Tally '#]],InvestorTable[[#This Row],[Investor Name]], NA())</f>
        <v>0</v>
      </c>
      <c r="C10" s="14"/>
      <c r="D10" s="17" t="e" cm="1">
        <f t="array" ref="D10">_xlfn.IFS(AND(InvestorTable[[#This Row],[Investor Tally '#]] = 'Payment Tracker'!$A10, 'Payment Tracker'!$C10="Dividend") = TRUE, InvestorTable[[#This Row],[Monthly ROI (₦)]], AND(InvestorTable[[#This Row],[Investor Tally '#]] = 'Payment Tracker'!$A10, 'Payment Tracker'!$C10="Capital") = TRUE, InvestorTable[[#This Row],[Investment Capital (₦)]], AND(InvestorTable[[#This Row],[Investor Tally '#]] = 'Payment Tracker'!$A10, 'Payment Tracker'!$C10="Refund") = TRUE, InvestorTable[[#This Row],[Investment Capital (₦)]] )</f>
        <v>#N/A</v>
      </c>
      <c r="E10" s="15"/>
      <c r="F10" s="14"/>
      <c r="G10" s="14"/>
      <c r="H10" s="14"/>
    </row>
    <row r="11" spans="1:8" x14ac:dyDescent="0.3">
      <c r="A11" s="13"/>
      <c r="B11" s="16">
        <f>IF($A11=InvestorTable[[#This Row],[Investor Tally '#]],InvestorTable[[#This Row],[Investor Name]], NA())</f>
        <v>0</v>
      </c>
      <c r="C11" s="14"/>
      <c r="D11" s="17" t="e" cm="1">
        <f t="array" ref="D11">_xlfn.IFS(AND(InvestorTable[[#This Row],[Investor Tally '#]] = 'Payment Tracker'!$A11, 'Payment Tracker'!$C11="Dividend") = TRUE, InvestorTable[[#This Row],[Monthly ROI (₦)]], AND(InvestorTable[[#This Row],[Investor Tally '#]] = 'Payment Tracker'!$A11, 'Payment Tracker'!$C11="Capital") = TRUE, InvestorTable[[#This Row],[Investment Capital (₦)]], AND(InvestorTable[[#This Row],[Investor Tally '#]] = 'Payment Tracker'!$A11, 'Payment Tracker'!$C11="Refund") = TRUE, InvestorTable[[#This Row],[Investment Capital (₦)]] )</f>
        <v>#N/A</v>
      </c>
      <c r="E11" s="15"/>
      <c r="F11" s="14"/>
      <c r="G11" s="14"/>
      <c r="H11" s="14"/>
    </row>
    <row r="12" spans="1:8" x14ac:dyDescent="0.3">
      <c r="A12" s="13"/>
      <c r="B12" s="16">
        <f>IF($A12=InvestorTable[[#This Row],[Investor Tally '#]],InvestorTable[[#This Row],[Investor Name]], NA())</f>
        <v>0</v>
      </c>
      <c r="C12" s="14"/>
      <c r="D12" s="17" t="e" cm="1">
        <f t="array" ref="D12">_xlfn.IFS(AND(InvestorTable[[#This Row],[Investor Tally '#]] = 'Payment Tracker'!$A12, 'Payment Tracker'!$C12="Dividend") = TRUE, InvestorTable[[#This Row],[Monthly ROI (₦)]], AND(InvestorTable[[#This Row],[Investor Tally '#]] = 'Payment Tracker'!$A12, 'Payment Tracker'!$C12="Capital") = TRUE, InvestorTable[[#This Row],[Investment Capital (₦)]], AND(InvestorTable[[#This Row],[Investor Tally '#]] = 'Payment Tracker'!$A12, 'Payment Tracker'!$C12="Refund") = TRUE, InvestorTable[[#This Row],[Investment Capital (₦)]] )</f>
        <v>#N/A</v>
      </c>
      <c r="E12" s="15"/>
      <c r="F12" s="14"/>
      <c r="G12" s="14"/>
      <c r="H12" s="14"/>
    </row>
    <row r="13" spans="1:8" x14ac:dyDescent="0.3">
      <c r="A13" s="13"/>
      <c r="B13" s="16">
        <f>IF($A13=InvestorTable[[#This Row],[Investor Tally '#]],InvestorTable[[#This Row],[Investor Name]], NA())</f>
        <v>0</v>
      </c>
      <c r="C13" s="14"/>
      <c r="D13" s="17" t="e" cm="1">
        <f t="array" ref="D13">_xlfn.IFS(AND(InvestorTable[[#This Row],[Investor Tally '#]] = 'Payment Tracker'!$A13, 'Payment Tracker'!$C13="Dividend") = TRUE, InvestorTable[[#This Row],[Monthly ROI (₦)]], AND(InvestorTable[[#This Row],[Investor Tally '#]] = 'Payment Tracker'!$A13, 'Payment Tracker'!$C13="Capital") = TRUE, InvestorTable[[#This Row],[Investment Capital (₦)]], AND(InvestorTable[[#This Row],[Investor Tally '#]] = 'Payment Tracker'!$A13, 'Payment Tracker'!$C13="Refund") = TRUE, InvestorTable[[#This Row],[Investment Capital (₦)]] )</f>
        <v>#N/A</v>
      </c>
      <c r="E13" s="15"/>
      <c r="F13" s="14"/>
      <c r="G13" s="14"/>
      <c r="H13" s="14"/>
    </row>
    <row r="14" spans="1:8" x14ac:dyDescent="0.3">
      <c r="A14" s="13"/>
      <c r="B14" s="16">
        <f>IF($A14=InvestorTable[[#This Row],[Investor Tally '#]],InvestorTable[[#This Row],[Investor Name]], NA())</f>
        <v>0</v>
      </c>
      <c r="C14" s="14"/>
      <c r="D14" s="17" t="e" cm="1">
        <f t="array" ref="D14">_xlfn.IFS(AND(InvestorTable[[#This Row],[Investor Tally '#]] = 'Payment Tracker'!$A14, 'Payment Tracker'!$C14="Dividend") = TRUE, InvestorTable[[#This Row],[Monthly ROI (₦)]], AND(InvestorTable[[#This Row],[Investor Tally '#]] = 'Payment Tracker'!$A14, 'Payment Tracker'!$C14="Capital") = TRUE, InvestorTable[[#This Row],[Investment Capital (₦)]], AND(InvestorTable[[#This Row],[Investor Tally '#]] = 'Payment Tracker'!$A14, 'Payment Tracker'!$C14="Refund") = TRUE, InvestorTable[[#This Row],[Investment Capital (₦)]] )</f>
        <v>#N/A</v>
      </c>
      <c r="E14" s="15"/>
      <c r="F14" s="14"/>
      <c r="G14" s="14"/>
      <c r="H14" s="14"/>
    </row>
    <row r="15" spans="1:8" x14ac:dyDescent="0.3">
      <c r="A15" s="13"/>
      <c r="B15" s="16">
        <f>IF($A15=InvestorTable[[#This Row],[Investor Tally '#]],InvestorTable[[#This Row],[Investor Name]], NA())</f>
        <v>0</v>
      </c>
      <c r="C15" s="14"/>
      <c r="D15" s="17" t="e" cm="1">
        <f t="array" ref="D15">_xlfn.IFS(AND(InvestorTable[[#This Row],[Investor Tally '#]] = 'Payment Tracker'!$A15, 'Payment Tracker'!$C15="Dividend") = TRUE, InvestorTable[[#This Row],[Monthly ROI (₦)]], AND(InvestorTable[[#This Row],[Investor Tally '#]] = 'Payment Tracker'!$A15, 'Payment Tracker'!$C15="Capital") = TRUE, InvestorTable[[#This Row],[Investment Capital (₦)]], AND(InvestorTable[[#This Row],[Investor Tally '#]] = 'Payment Tracker'!$A15, 'Payment Tracker'!$C15="Refund") = TRUE, InvestorTable[[#This Row],[Investment Capital (₦)]] )</f>
        <v>#N/A</v>
      </c>
      <c r="E15" s="15"/>
      <c r="F15" s="14"/>
      <c r="G15" s="14"/>
      <c r="H15" s="14"/>
    </row>
    <row r="16" spans="1:8" x14ac:dyDescent="0.3">
      <c r="A16" s="13"/>
      <c r="B16" s="16">
        <f>IF($A16=InvestorTable[[#This Row],[Investor Tally '#]],InvestorTable[[#This Row],[Investor Name]], NA())</f>
        <v>0</v>
      </c>
      <c r="C16" s="14"/>
      <c r="D16" s="17" t="e" cm="1">
        <f t="array" ref="D16">_xlfn.IFS(AND(InvestorTable[[#This Row],[Investor Tally '#]] = 'Payment Tracker'!$A16, 'Payment Tracker'!$C16="Dividend") = TRUE, InvestorTable[[#This Row],[Monthly ROI (₦)]], AND(InvestorTable[[#This Row],[Investor Tally '#]] = 'Payment Tracker'!$A16, 'Payment Tracker'!$C16="Capital") = TRUE, InvestorTable[[#This Row],[Investment Capital (₦)]], AND(InvestorTable[[#This Row],[Investor Tally '#]] = 'Payment Tracker'!$A16, 'Payment Tracker'!$C16="Refund") = TRUE, InvestorTable[[#This Row],[Investment Capital (₦)]] )</f>
        <v>#N/A</v>
      </c>
      <c r="E16" s="15"/>
      <c r="F16" s="14"/>
      <c r="G16" s="14"/>
      <c r="H16" s="14"/>
    </row>
    <row r="17" spans="1:8" x14ac:dyDescent="0.3">
      <c r="A17" s="13"/>
      <c r="B17" s="16">
        <f>IF($A17=InvestorTable[[#This Row],[Investor Tally '#]],InvestorTable[[#This Row],[Investor Name]], NA())</f>
        <v>0</v>
      </c>
      <c r="C17" s="14"/>
      <c r="D17" s="17" t="e" cm="1">
        <f t="array" ref="D17">_xlfn.IFS(AND(InvestorTable[[#This Row],[Investor Tally '#]] = 'Payment Tracker'!$A17, 'Payment Tracker'!$C17="Dividend") = TRUE, InvestorTable[[#This Row],[Monthly ROI (₦)]], AND(InvestorTable[[#This Row],[Investor Tally '#]] = 'Payment Tracker'!$A17, 'Payment Tracker'!$C17="Capital") = TRUE, InvestorTable[[#This Row],[Investment Capital (₦)]], AND(InvestorTable[[#This Row],[Investor Tally '#]] = 'Payment Tracker'!$A17, 'Payment Tracker'!$C17="Refund") = TRUE, InvestorTable[[#This Row],[Investment Capital (₦)]] )</f>
        <v>#N/A</v>
      </c>
      <c r="E17" s="15"/>
      <c r="F17" s="14"/>
      <c r="G17" s="14"/>
      <c r="H17" s="14"/>
    </row>
    <row r="18" spans="1:8" x14ac:dyDescent="0.3">
      <c r="A18" s="13"/>
      <c r="B18" s="16">
        <f>IF($A18=InvestorTable[[#This Row],[Investor Tally '#]],InvestorTable[[#This Row],[Investor Name]], NA())</f>
        <v>0</v>
      </c>
      <c r="C18" s="14"/>
      <c r="D18" s="17" t="e" cm="1">
        <f t="array" ref="D18">_xlfn.IFS(AND(InvestorTable[[#This Row],[Investor Tally '#]] = 'Payment Tracker'!$A18, 'Payment Tracker'!$C18="Dividend") = TRUE, InvestorTable[[#This Row],[Monthly ROI (₦)]], AND(InvestorTable[[#This Row],[Investor Tally '#]] = 'Payment Tracker'!$A18, 'Payment Tracker'!$C18="Capital") = TRUE, InvestorTable[[#This Row],[Investment Capital (₦)]], AND(InvestorTable[[#This Row],[Investor Tally '#]] = 'Payment Tracker'!$A18, 'Payment Tracker'!$C18="Refund") = TRUE, InvestorTable[[#This Row],[Investment Capital (₦)]] )</f>
        <v>#N/A</v>
      </c>
      <c r="E18" s="15"/>
      <c r="F18" s="14"/>
      <c r="G18" s="14"/>
      <c r="H18" s="14"/>
    </row>
    <row r="19" spans="1:8" x14ac:dyDescent="0.3">
      <c r="A19" s="13"/>
      <c r="B19" s="16">
        <f>IF($A19=InvestorTable[[#This Row],[Investor Tally '#]],InvestorTable[[#This Row],[Investor Name]], NA())</f>
        <v>0</v>
      </c>
      <c r="C19" s="14"/>
      <c r="D19" s="17" t="e" cm="1">
        <f t="array" ref="D19">_xlfn.IFS(AND(InvestorTable[[#This Row],[Investor Tally '#]] = 'Payment Tracker'!$A19, 'Payment Tracker'!$C19="Dividend") = TRUE, InvestorTable[[#This Row],[Monthly ROI (₦)]], AND(InvestorTable[[#This Row],[Investor Tally '#]] = 'Payment Tracker'!$A19, 'Payment Tracker'!$C19="Capital") = TRUE, InvestorTable[[#This Row],[Investment Capital (₦)]], AND(InvestorTable[[#This Row],[Investor Tally '#]] = 'Payment Tracker'!$A19, 'Payment Tracker'!$C19="Refund") = TRUE, InvestorTable[[#This Row],[Investment Capital (₦)]] )</f>
        <v>#N/A</v>
      </c>
      <c r="E19" s="15"/>
      <c r="F19" s="14"/>
      <c r="G19" s="14"/>
      <c r="H19" s="14"/>
    </row>
    <row r="20" spans="1:8" x14ac:dyDescent="0.3">
      <c r="A20" s="13"/>
      <c r="B20" s="16">
        <f>IF($A20=InvestorTable[[#This Row],[Investor Tally '#]],InvestorTable[[#This Row],[Investor Name]], NA())</f>
        <v>0</v>
      </c>
      <c r="C20" s="14"/>
      <c r="D20" s="17" t="e" cm="1">
        <f t="array" ref="D20">_xlfn.IFS(AND(InvestorTable[[#This Row],[Investor Tally '#]] = 'Payment Tracker'!$A20, 'Payment Tracker'!$C20="Dividend") = TRUE, InvestorTable[[#This Row],[Monthly ROI (₦)]], AND(InvestorTable[[#This Row],[Investor Tally '#]] = 'Payment Tracker'!$A20, 'Payment Tracker'!$C20="Capital") = TRUE, InvestorTable[[#This Row],[Investment Capital (₦)]], AND(InvestorTable[[#This Row],[Investor Tally '#]] = 'Payment Tracker'!$A20, 'Payment Tracker'!$C20="Refund") = TRUE, InvestorTable[[#This Row],[Investment Capital (₦)]] )</f>
        <v>#N/A</v>
      </c>
      <c r="E20" s="15"/>
      <c r="F20" s="14"/>
      <c r="G20" s="14"/>
      <c r="H20" s="14"/>
    </row>
    <row r="21" spans="1:8" x14ac:dyDescent="0.3">
      <c r="A21" s="13"/>
      <c r="B21" s="16">
        <f>IF($A21=InvestorTable[[#This Row],[Investor Tally '#]],InvestorTable[[#This Row],[Investor Name]], NA())</f>
        <v>0</v>
      </c>
      <c r="C21" s="14"/>
      <c r="D21" s="17" t="e" cm="1">
        <f t="array" ref="D21">_xlfn.IFS(AND(InvestorTable[[#This Row],[Investor Tally '#]] = 'Payment Tracker'!$A21, 'Payment Tracker'!$C21="Dividend") = TRUE, InvestorTable[[#This Row],[Monthly ROI (₦)]], AND(InvestorTable[[#This Row],[Investor Tally '#]] = 'Payment Tracker'!$A21, 'Payment Tracker'!$C21="Capital") = TRUE, InvestorTable[[#This Row],[Investment Capital (₦)]], AND(InvestorTable[[#This Row],[Investor Tally '#]] = 'Payment Tracker'!$A21, 'Payment Tracker'!$C21="Refund") = TRUE, InvestorTable[[#This Row],[Investment Capital (₦)]] )</f>
        <v>#N/A</v>
      </c>
      <c r="E21" s="15"/>
      <c r="F21" s="14"/>
      <c r="G21" s="14"/>
      <c r="H21" s="14"/>
    </row>
    <row r="22" spans="1:8" x14ac:dyDescent="0.3">
      <c r="A22" s="13"/>
      <c r="B22" s="16">
        <f>IF($A22=InvestorTable[[#This Row],[Investor Tally '#]],InvestorTable[[#This Row],[Investor Name]], NA())</f>
        <v>0</v>
      </c>
      <c r="C22" s="14"/>
      <c r="D22" s="17" t="e" cm="1">
        <f t="array" ref="D22">_xlfn.IFS(AND(InvestorTable[[#This Row],[Investor Tally '#]] = 'Payment Tracker'!$A22, 'Payment Tracker'!$C22="Dividend") = TRUE, InvestorTable[[#This Row],[Monthly ROI (₦)]], AND(InvestorTable[[#This Row],[Investor Tally '#]] = 'Payment Tracker'!$A22, 'Payment Tracker'!$C22="Capital") = TRUE, InvestorTable[[#This Row],[Investment Capital (₦)]], AND(InvestorTable[[#This Row],[Investor Tally '#]] = 'Payment Tracker'!$A22, 'Payment Tracker'!$C22="Refund") = TRUE, InvestorTable[[#This Row],[Investment Capital (₦)]] )</f>
        <v>#N/A</v>
      </c>
      <c r="E22" s="15"/>
      <c r="F22" s="14"/>
      <c r="G22" s="14"/>
      <c r="H22" s="14"/>
    </row>
    <row r="23" spans="1:8" x14ac:dyDescent="0.3">
      <c r="A23" s="13"/>
      <c r="B23" s="16">
        <f>IF($A23=InvestorTable[[#This Row],[Investor Tally '#]],InvestorTable[[#This Row],[Investor Name]], NA())</f>
        <v>0</v>
      </c>
      <c r="C23" s="14"/>
      <c r="D23" s="17" t="e" cm="1">
        <f t="array" ref="D23">_xlfn.IFS(AND(InvestorTable[[#This Row],[Investor Tally '#]] = 'Payment Tracker'!$A23, 'Payment Tracker'!$C23="Dividend") = TRUE, InvestorTable[[#This Row],[Monthly ROI (₦)]], AND(InvestorTable[[#This Row],[Investor Tally '#]] = 'Payment Tracker'!$A23, 'Payment Tracker'!$C23="Capital") = TRUE, InvestorTable[[#This Row],[Investment Capital (₦)]], AND(InvestorTable[[#This Row],[Investor Tally '#]] = 'Payment Tracker'!$A23, 'Payment Tracker'!$C23="Refund") = TRUE, InvestorTable[[#This Row],[Investment Capital (₦)]] )</f>
        <v>#N/A</v>
      </c>
      <c r="E23" s="15"/>
      <c r="F23" s="14"/>
      <c r="G23" s="14"/>
      <c r="H23" s="14"/>
    </row>
    <row r="24" spans="1:8" x14ac:dyDescent="0.3">
      <c r="A24" s="13"/>
      <c r="B24" s="16">
        <f>IF($A24=InvestorTable[[#This Row],[Investor Tally '#]],InvestorTable[[#This Row],[Investor Name]], NA())</f>
        <v>0</v>
      </c>
      <c r="C24" s="14"/>
      <c r="D24" s="17" t="e" cm="1">
        <f t="array" ref="D24">_xlfn.IFS(AND(InvestorTable[[#This Row],[Investor Tally '#]] = 'Payment Tracker'!$A24, 'Payment Tracker'!$C24="Dividend") = TRUE, InvestorTable[[#This Row],[Monthly ROI (₦)]], AND(InvestorTable[[#This Row],[Investor Tally '#]] = 'Payment Tracker'!$A24, 'Payment Tracker'!$C24="Capital") = TRUE, InvestorTable[[#This Row],[Investment Capital (₦)]], AND(InvestorTable[[#This Row],[Investor Tally '#]] = 'Payment Tracker'!$A24, 'Payment Tracker'!$C24="Refund") = TRUE, InvestorTable[[#This Row],[Investment Capital (₦)]] )</f>
        <v>#N/A</v>
      </c>
      <c r="E24" s="15"/>
      <c r="F24" s="14"/>
      <c r="G24" s="14"/>
      <c r="H24" s="14"/>
    </row>
    <row r="25" spans="1:8" x14ac:dyDescent="0.3">
      <c r="A25" s="13"/>
      <c r="B25" s="16">
        <f>IF($A25=InvestorTable[[#This Row],[Investor Tally '#]],InvestorTable[[#This Row],[Investor Name]], NA())</f>
        <v>0</v>
      </c>
      <c r="C25" s="14"/>
      <c r="D25" s="17" t="e" cm="1">
        <f t="array" ref="D25">_xlfn.IFS(AND(InvestorTable[[#This Row],[Investor Tally '#]] = 'Payment Tracker'!$A25, 'Payment Tracker'!$C25="Dividend") = TRUE, InvestorTable[[#This Row],[Monthly ROI (₦)]], AND(InvestorTable[[#This Row],[Investor Tally '#]] = 'Payment Tracker'!$A25, 'Payment Tracker'!$C25="Capital") = TRUE, InvestorTable[[#This Row],[Investment Capital (₦)]], AND(InvestorTable[[#This Row],[Investor Tally '#]] = 'Payment Tracker'!$A25, 'Payment Tracker'!$C25="Refund") = TRUE, InvestorTable[[#This Row],[Investment Capital (₦)]] )</f>
        <v>#N/A</v>
      </c>
      <c r="E25" s="15"/>
      <c r="F25" s="14"/>
      <c r="G25" s="14"/>
      <c r="H25" s="14"/>
    </row>
    <row r="26" spans="1:8" x14ac:dyDescent="0.3">
      <c r="A26" s="13"/>
      <c r="B26" s="16">
        <f>IF($A26=InvestorTable[[#This Row],[Investor Tally '#]],InvestorTable[[#This Row],[Investor Name]], NA())</f>
        <v>0</v>
      </c>
      <c r="C26" s="14"/>
      <c r="D26" s="17" t="e" cm="1">
        <f t="array" ref="D26">_xlfn.IFS(AND(InvestorTable[[#This Row],[Investor Tally '#]] = 'Payment Tracker'!$A26, 'Payment Tracker'!$C26="Dividend") = TRUE, InvestorTable[[#This Row],[Monthly ROI (₦)]], AND(InvestorTable[[#This Row],[Investor Tally '#]] = 'Payment Tracker'!$A26, 'Payment Tracker'!$C26="Capital") = TRUE, InvestorTable[[#This Row],[Investment Capital (₦)]], AND(InvestorTable[[#This Row],[Investor Tally '#]] = 'Payment Tracker'!$A26, 'Payment Tracker'!$C26="Refund") = TRUE, InvestorTable[[#This Row],[Investment Capital (₦)]] )</f>
        <v>#N/A</v>
      </c>
      <c r="E26" s="15"/>
      <c r="F26" s="14"/>
      <c r="G26" s="14"/>
      <c r="H26" s="14"/>
    </row>
    <row r="27" spans="1:8" x14ac:dyDescent="0.3">
      <c r="A27" s="13"/>
      <c r="B27" s="16">
        <f>IF($A27=InvestorTable[[#This Row],[Investor Tally '#]],InvestorTable[[#This Row],[Investor Name]], NA())</f>
        <v>0</v>
      </c>
      <c r="C27" s="14"/>
      <c r="D27" s="17" t="e" cm="1">
        <f t="array" ref="D27">_xlfn.IFS(AND(InvestorTable[[#This Row],[Investor Tally '#]] = 'Payment Tracker'!$A27, 'Payment Tracker'!$C27="Dividend") = TRUE, InvestorTable[[#This Row],[Monthly ROI (₦)]], AND(InvestorTable[[#This Row],[Investor Tally '#]] = 'Payment Tracker'!$A27, 'Payment Tracker'!$C27="Capital") = TRUE, InvestorTable[[#This Row],[Investment Capital (₦)]], AND(InvestorTable[[#This Row],[Investor Tally '#]] = 'Payment Tracker'!$A27, 'Payment Tracker'!$C27="Refund") = TRUE, InvestorTable[[#This Row],[Investment Capital (₦)]] )</f>
        <v>#N/A</v>
      </c>
      <c r="E27" s="15"/>
      <c r="F27" s="14"/>
      <c r="G27" s="14"/>
      <c r="H27" s="14"/>
    </row>
    <row r="28" spans="1:8" x14ac:dyDescent="0.3">
      <c r="A28" s="13"/>
      <c r="B28" s="16">
        <f>IF($A28=InvestorTable[[#This Row],[Investor Tally '#]],InvestorTable[[#This Row],[Investor Name]], NA())</f>
        <v>0</v>
      </c>
      <c r="C28" s="14"/>
      <c r="D28" s="17" t="e" cm="1">
        <f t="array" ref="D28">_xlfn.IFS(AND(InvestorTable[[#This Row],[Investor Tally '#]] = 'Payment Tracker'!$A28, 'Payment Tracker'!$C28="Dividend") = TRUE, InvestorTable[[#This Row],[Monthly ROI (₦)]], AND(InvestorTable[[#This Row],[Investor Tally '#]] = 'Payment Tracker'!$A28, 'Payment Tracker'!$C28="Capital") = TRUE, InvestorTable[[#This Row],[Investment Capital (₦)]], AND(InvestorTable[[#This Row],[Investor Tally '#]] = 'Payment Tracker'!$A28, 'Payment Tracker'!$C28="Refund") = TRUE, InvestorTable[[#This Row],[Investment Capital (₦)]] )</f>
        <v>#N/A</v>
      </c>
      <c r="E28" s="15"/>
      <c r="F28" s="14"/>
      <c r="G28" s="14"/>
      <c r="H28" s="14"/>
    </row>
    <row r="29" spans="1:8" x14ac:dyDescent="0.3">
      <c r="A29" s="13"/>
      <c r="B29" s="16">
        <f>IF($A29=InvestorTable[[#This Row],[Investor Tally '#]],InvestorTable[[#This Row],[Investor Name]], NA())</f>
        <v>0</v>
      </c>
      <c r="C29" s="14"/>
      <c r="D29" s="17" t="e" cm="1">
        <f t="array" ref="D29">_xlfn.IFS(AND(InvestorTable[[#This Row],[Investor Tally '#]] = 'Payment Tracker'!$A29, 'Payment Tracker'!$C29="Dividend") = TRUE, InvestorTable[[#This Row],[Monthly ROI (₦)]], AND(InvestorTable[[#This Row],[Investor Tally '#]] = 'Payment Tracker'!$A29, 'Payment Tracker'!$C29="Capital") = TRUE, InvestorTable[[#This Row],[Investment Capital (₦)]], AND(InvestorTable[[#This Row],[Investor Tally '#]] = 'Payment Tracker'!$A29, 'Payment Tracker'!$C29="Refund") = TRUE, InvestorTable[[#This Row],[Investment Capital (₦)]] )</f>
        <v>#N/A</v>
      </c>
      <c r="E29" s="15"/>
      <c r="F29" s="14"/>
      <c r="G29" s="14"/>
      <c r="H29" s="14"/>
    </row>
    <row r="30" spans="1:8" x14ac:dyDescent="0.3">
      <c r="A30" s="13"/>
      <c r="B30" s="16">
        <f>IF($A30=InvestorTable[[#This Row],[Investor Tally '#]],InvestorTable[[#This Row],[Investor Name]], NA())</f>
        <v>0</v>
      </c>
      <c r="C30" s="14"/>
      <c r="D30" s="17" t="e" cm="1">
        <f t="array" ref="D30">_xlfn.IFS(AND(InvestorTable[[#This Row],[Investor Tally '#]] = 'Payment Tracker'!$A30, 'Payment Tracker'!$C30="Dividend") = TRUE, InvestorTable[[#This Row],[Monthly ROI (₦)]], AND(InvestorTable[[#This Row],[Investor Tally '#]] = 'Payment Tracker'!$A30, 'Payment Tracker'!$C30="Capital") = TRUE, InvestorTable[[#This Row],[Investment Capital (₦)]], AND(InvestorTable[[#This Row],[Investor Tally '#]] = 'Payment Tracker'!$A30, 'Payment Tracker'!$C30="Refund") = TRUE, InvestorTable[[#This Row],[Investment Capital (₦)]] )</f>
        <v>#N/A</v>
      </c>
      <c r="E30" s="15"/>
      <c r="F30" s="14"/>
      <c r="G30" s="14"/>
      <c r="H30" s="14"/>
    </row>
    <row r="31" spans="1:8" x14ac:dyDescent="0.3">
      <c r="A31" s="13"/>
      <c r="B31" s="16">
        <f>IF($A31=InvestorTable[[#This Row],[Investor Tally '#]],InvestorTable[[#This Row],[Investor Name]], NA())</f>
        <v>0</v>
      </c>
      <c r="C31" s="14"/>
      <c r="D31" s="17" t="e" cm="1">
        <f t="array" ref="D31">_xlfn.IFS(AND(InvestorTable[[#This Row],[Investor Tally '#]] = 'Payment Tracker'!$A31, 'Payment Tracker'!$C31="Dividend") = TRUE, InvestorTable[[#This Row],[Monthly ROI (₦)]], AND(InvestorTable[[#This Row],[Investor Tally '#]] = 'Payment Tracker'!$A31, 'Payment Tracker'!$C31="Capital") = TRUE, InvestorTable[[#This Row],[Investment Capital (₦)]], AND(InvestorTable[[#This Row],[Investor Tally '#]] = 'Payment Tracker'!$A31, 'Payment Tracker'!$C31="Refund") = TRUE, InvestorTable[[#This Row],[Investment Capital (₦)]] )</f>
        <v>#N/A</v>
      </c>
      <c r="E31" s="15"/>
      <c r="F31" s="14"/>
      <c r="G31" s="14"/>
      <c r="H31" s="14"/>
    </row>
    <row r="32" spans="1:8" x14ac:dyDescent="0.3">
      <c r="A32" s="13"/>
      <c r="B32" s="16">
        <f>IF($A32=InvestorTable[[#This Row],[Investor Tally '#]],InvestorTable[[#This Row],[Investor Name]], NA())</f>
        <v>0</v>
      </c>
      <c r="C32" s="14"/>
      <c r="D32" s="17" t="e" cm="1">
        <f t="array" ref="D32">_xlfn.IFS(AND(InvestorTable[[#This Row],[Investor Tally '#]] = 'Payment Tracker'!$A32, 'Payment Tracker'!$C32="Dividend") = TRUE, InvestorTable[[#This Row],[Monthly ROI (₦)]], AND(InvestorTable[[#This Row],[Investor Tally '#]] = 'Payment Tracker'!$A32, 'Payment Tracker'!$C32="Capital") = TRUE, InvestorTable[[#This Row],[Investment Capital (₦)]], AND(InvestorTable[[#This Row],[Investor Tally '#]] = 'Payment Tracker'!$A32, 'Payment Tracker'!$C32="Refund") = TRUE, InvestorTable[[#This Row],[Investment Capital (₦)]] )</f>
        <v>#N/A</v>
      </c>
      <c r="E32" s="15"/>
      <c r="F32" s="14"/>
      <c r="G32" s="14"/>
      <c r="H32" s="14"/>
    </row>
    <row r="33" spans="1:8" x14ac:dyDescent="0.3">
      <c r="A33" s="13"/>
      <c r="B33" s="16">
        <f>IF($A33=InvestorTable[[#This Row],[Investor Tally '#]],InvestorTable[[#This Row],[Investor Name]], NA())</f>
        <v>0</v>
      </c>
      <c r="C33" s="14"/>
      <c r="D33" s="17" t="e" cm="1">
        <f t="array" ref="D33">_xlfn.IFS(AND(InvestorTable[[#This Row],[Investor Tally '#]] = 'Payment Tracker'!$A33, 'Payment Tracker'!$C33="Dividend") = TRUE, InvestorTable[[#This Row],[Monthly ROI (₦)]], AND(InvestorTable[[#This Row],[Investor Tally '#]] = 'Payment Tracker'!$A33, 'Payment Tracker'!$C33="Capital") = TRUE, InvestorTable[[#This Row],[Investment Capital (₦)]], AND(InvestorTable[[#This Row],[Investor Tally '#]] = 'Payment Tracker'!$A33, 'Payment Tracker'!$C33="Refund") = TRUE, InvestorTable[[#This Row],[Investment Capital (₦)]] )</f>
        <v>#N/A</v>
      </c>
      <c r="E33" s="15"/>
      <c r="F33" s="14"/>
      <c r="G33" s="14"/>
      <c r="H33" s="14"/>
    </row>
    <row r="34" spans="1:8" x14ac:dyDescent="0.3">
      <c r="A34" s="13"/>
      <c r="B34" s="16">
        <f>IF($A34=InvestorTable[[#This Row],[Investor Tally '#]],InvestorTable[[#This Row],[Investor Name]], NA())</f>
        <v>0</v>
      </c>
      <c r="C34" s="14"/>
      <c r="D34" s="17" t="e" cm="1">
        <f t="array" ref="D34">_xlfn.IFS(AND(InvestorTable[[#This Row],[Investor Tally '#]] = 'Payment Tracker'!$A34, 'Payment Tracker'!$C34="Dividend") = TRUE, InvestorTable[[#This Row],[Monthly ROI (₦)]], AND(InvestorTable[[#This Row],[Investor Tally '#]] = 'Payment Tracker'!$A34, 'Payment Tracker'!$C34="Capital") = TRUE, InvestorTable[[#This Row],[Investment Capital (₦)]], AND(InvestorTable[[#This Row],[Investor Tally '#]] = 'Payment Tracker'!$A34, 'Payment Tracker'!$C34="Refund") = TRUE, InvestorTable[[#This Row],[Investment Capital (₦)]] )</f>
        <v>#N/A</v>
      </c>
      <c r="E34" s="15"/>
      <c r="F34" s="14"/>
      <c r="G34" s="14"/>
      <c r="H34" s="14"/>
    </row>
    <row r="35" spans="1:8" x14ac:dyDescent="0.3">
      <c r="A35" s="13"/>
      <c r="B35" s="16">
        <f>IF($A35=InvestorTable[[#This Row],[Investor Tally '#]],InvestorTable[[#This Row],[Investor Name]], NA())</f>
        <v>0</v>
      </c>
      <c r="C35" s="14"/>
      <c r="D35" s="17" t="e" cm="1">
        <f t="array" ref="D35">_xlfn.IFS(AND(InvestorTable[[#This Row],[Investor Tally '#]] = 'Payment Tracker'!$A35, 'Payment Tracker'!$C35="Dividend") = TRUE, InvestorTable[[#This Row],[Monthly ROI (₦)]], AND(InvestorTable[[#This Row],[Investor Tally '#]] = 'Payment Tracker'!$A35, 'Payment Tracker'!$C35="Capital") = TRUE, InvestorTable[[#This Row],[Investment Capital (₦)]], AND(InvestorTable[[#This Row],[Investor Tally '#]] = 'Payment Tracker'!$A35, 'Payment Tracker'!$C35="Refund") = TRUE, InvestorTable[[#This Row],[Investment Capital (₦)]] )</f>
        <v>#N/A</v>
      </c>
      <c r="E35" s="15"/>
      <c r="F35" s="14"/>
      <c r="G35" s="14"/>
      <c r="H35" s="14"/>
    </row>
    <row r="36" spans="1:8" x14ac:dyDescent="0.3">
      <c r="A36" s="13"/>
      <c r="B36" s="16">
        <f>IF($A36=InvestorTable[[#This Row],[Investor Tally '#]],InvestorTable[[#This Row],[Investor Name]], NA())</f>
        <v>0</v>
      </c>
      <c r="C36" s="14"/>
      <c r="D36" s="17" t="e" cm="1">
        <f t="array" ref="D36">_xlfn.IFS(AND(InvestorTable[[#This Row],[Investor Tally '#]] = 'Payment Tracker'!$A36, 'Payment Tracker'!$C36="Dividend") = TRUE, InvestorTable[[#This Row],[Monthly ROI (₦)]], AND(InvestorTable[[#This Row],[Investor Tally '#]] = 'Payment Tracker'!$A36, 'Payment Tracker'!$C36="Capital") = TRUE, InvestorTable[[#This Row],[Investment Capital (₦)]], AND(InvestorTable[[#This Row],[Investor Tally '#]] = 'Payment Tracker'!$A36, 'Payment Tracker'!$C36="Refund") = TRUE, InvestorTable[[#This Row],[Investment Capital (₦)]] )</f>
        <v>#N/A</v>
      </c>
      <c r="E36" s="15"/>
      <c r="F36" s="14"/>
      <c r="G36" s="14"/>
      <c r="H36" s="14"/>
    </row>
    <row r="37" spans="1:8" x14ac:dyDescent="0.3">
      <c r="A37" s="13"/>
      <c r="B37" s="16">
        <f>IF($A37=InvestorTable[[#This Row],[Investor Tally '#]],InvestorTable[[#This Row],[Investor Name]], NA())</f>
        <v>0</v>
      </c>
      <c r="C37" s="14"/>
      <c r="D37" s="17" t="e" cm="1">
        <f t="array" ref="D37">_xlfn.IFS(AND(InvestorTable[[#This Row],[Investor Tally '#]] = 'Payment Tracker'!$A37, 'Payment Tracker'!$C37="Dividend") = TRUE, InvestorTable[[#This Row],[Monthly ROI (₦)]], AND(InvestorTable[[#This Row],[Investor Tally '#]] = 'Payment Tracker'!$A37, 'Payment Tracker'!$C37="Capital") = TRUE, InvestorTable[[#This Row],[Investment Capital (₦)]], AND(InvestorTable[[#This Row],[Investor Tally '#]] = 'Payment Tracker'!$A37, 'Payment Tracker'!$C37="Refund") = TRUE, InvestorTable[[#This Row],[Investment Capital (₦)]] )</f>
        <v>#N/A</v>
      </c>
      <c r="E37" s="15"/>
      <c r="F37" s="14"/>
      <c r="G37" s="14"/>
      <c r="H37" s="14"/>
    </row>
    <row r="38" spans="1:8" x14ac:dyDescent="0.3">
      <c r="A38" s="13"/>
      <c r="B38" s="16">
        <f>IF($A38=InvestorTable[[#This Row],[Investor Tally '#]],InvestorTable[[#This Row],[Investor Name]], NA())</f>
        <v>0</v>
      </c>
      <c r="C38" s="14"/>
      <c r="D38" s="17" t="e" cm="1">
        <f t="array" ref="D38">_xlfn.IFS(AND(InvestorTable[[#This Row],[Investor Tally '#]] = 'Payment Tracker'!$A38, 'Payment Tracker'!$C38="Dividend") = TRUE, InvestorTable[[#This Row],[Monthly ROI (₦)]], AND(InvestorTable[[#This Row],[Investor Tally '#]] = 'Payment Tracker'!$A38, 'Payment Tracker'!$C38="Capital") = TRUE, InvestorTable[[#This Row],[Investment Capital (₦)]], AND(InvestorTable[[#This Row],[Investor Tally '#]] = 'Payment Tracker'!$A38, 'Payment Tracker'!$C38="Refund") = TRUE, InvestorTable[[#This Row],[Investment Capital (₦)]] )</f>
        <v>#N/A</v>
      </c>
      <c r="E38" s="15"/>
      <c r="F38" s="14"/>
      <c r="G38" s="14"/>
      <c r="H38" s="14"/>
    </row>
    <row r="39" spans="1:8" x14ac:dyDescent="0.3">
      <c r="A39" s="13"/>
      <c r="B39" s="16">
        <f>IF($A39=InvestorTable[[#This Row],[Investor Tally '#]],InvestorTable[[#This Row],[Investor Name]], NA())</f>
        <v>0</v>
      </c>
      <c r="C39" s="14"/>
      <c r="D39" s="17" t="e" cm="1">
        <f t="array" ref="D39">_xlfn.IFS(AND(InvestorTable[[#This Row],[Investor Tally '#]] = 'Payment Tracker'!$A39, 'Payment Tracker'!$C39="Dividend") = TRUE, InvestorTable[[#This Row],[Monthly ROI (₦)]], AND(InvestorTable[[#This Row],[Investor Tally '#]] = 'Payment Tracker'!$A39, 'Payment Tracker'!$C39="Capital") = TRUE, InvestorTable[[#This Row],[Investment Capital (₦)]], AND(InvestorTable[[#This Row],[Investor Tally '#]] = 'Payment Tracker'!$A39, 'Payment Tracker'!$C39="Refund") = TRUE, InvestorTable[[#This Row],[Investment Capital (₦)]] )</f>
        <v>#N/A</v>
      </c>
      <c r="E39" s="15"/>
      <c r="F39" s="14"/>
      <c r="G39" s="14"/>
      <c r="H39" s="14"/>
    </row>
    <row r="40" spans="1:8" x14ac:dyDescent="0.3">
      <c r="A40" s="13"/>
      <c r="B40" s="16">
        <f>IF($A40=InvestorTable[[#This Row],[Investor Tally '#]],InvestorTable[[#This Row],[Investor Name]], NA())</f>
        <v>0</v>
      </c>
      <c r="C40" s="14"/>
      <c r="D40" s="17" t="e" cm="1">
        <f t="array" ref="D40">_xlfn.IFS(AND(InvestorTable[[#This Row],[Investor Tally '#]] = 'Payment Tracker'!$A40, 'Payment Tracker'!$C40="Dividend") = TRUE, InvestorTable[[#This Row],[Monthly ROI (₦)]], AND(InvestorTable[[#This Row],[Investor Tally '#]] = 'Payment Tracker'!$A40, 'Payment Tracker'!$C40="Capital") = TRUE, InvestorTable[[#This Row],[Investment Capital (₦)]], AND(InvestorTable[[#This Row],[Investor Tally '#]] = 'Payment Tracker'!$A40, 'Payment Tracker'!$C40="Refund") = TRUE, InvestorTable[[#This Row],[Investment Capital (₦)]] )</f>
        <v>#N/A</v>
      </c>
      <c r="E40" s="15"/>
      <c r="F40" s="14"/>
      <c r="G40" s="14"/>
      <c r="H40" s="14"/>
    </row>
    <row r="41" spans="1:8" x14ac:dyDescent="0.3">
      <c r="A41" s="13"/>
      <c r="B41" s="16">
        <f>IF($A41=InvestorTable[[#This Row],[Investor Tally '#]],InvestorTable[[#This Row],[Investor Name]], NA())</f>
        <v>0</v>
      </c>
      <c r="C41" s="14"/>
      <c r="D41" s="17" t="e" cm="1">
        <f t="array" ref="D41">_xlfn.IFS(AND(InvestorTable[[#This Row],[Investor Tally '#]] = 'Payment Tracker'!$A41, 'Payment Tracker'!$C41="Dividend") = TRUE, InvestorTable[[#This Row],[Monthly ROI (₦)]], AND(InvestorTable[[#This Row],[Investor Tally '#]] = 'Payment Tracker'!$A41, 'Payment Tracker'!$C41="Capital") = TRUE, InvestorTable[[#This Row],[Investment Capital (₦)]], AND(InvestorTable[[#This Row],[Investor Tally '#]] = 'Payment Tracker'!$A41, 'Payment Tracker'!$C41="Refund") = TRUE, InvestorTable[[#This Row],[Investment Capital (₦)]] )</f>
        <v>#N/A</v>
      </c>
      <c r="E41" s="15"/>
      <c r="F41" s="14"/>
      <c r="G41" s="14"/>
      <c r="H41" s="14"/>
    </row>
    <row r="42" spans="1:8" x14ac:dyDescent="0.3">
      <c r="A42" s="13"/>
      <c r="B42" s="16">
        <f>IF($A42=InvestorTable[[#This Row],[Investor Tally '#]],InvestorTable[[#This Row],[Investor Name]], NA())</f>
        <v>0</v>
      </c>
      <c r="C42" s="14"/>
      <c r="D42" s="17" t="e" cm="1">
        <f t="array" ref="D42">_xlfn.IFS(AND(InvestorTable[[#This Row],[Investor Tally '#]] = 'Payment Tracker'!$A42, 'Payment Tracker'!$C42="Dividend") = TRUE, InvestorTable[[#This Row],[Monthly ROI (₦)]], AND(InvestorTable[[#This Row],[Investor Tally '#]] = 'Payment Tracker'!$A42, 'Payment Tracker'!$C42="Capital") = TRUE, InvestorTable[[#This Row],[Investment Capital (₦)]], AND(InvestorTable[[#This Row],[Investor Tally '#]] = 'Payment Tracker'!$A42, 'Payment Tracker'!$C42="Refund") = TRUE, InvestorTable[[#This Row],[Investment Capital (₦)]] )</f>
        <v>#N/A</v>
      </c>
      <c r="E42" s="15"/>
      <c r="F42" s="14"/>
      <c r="G42" s="14"/>
      <c r="H42" s="14"/>
    </row>
    <row r="43" spans="1:8" x14ac:dyDescent="0.3">
      <c r="A43" s="13"/>
      <c r="B43" s="16">
        <f>IF($A43=InvestorTable[[#This Row],[Investor Tally '#]],InvestorTable[[#This Row],[Investor Name]], NA())</f>
        <v>0</v>
      </c>
      <c r="C43" s="14"/>
      <c r="D43" s="17" t="e" cm="1">
        <f t="array" ref="D43">_xlfn.IFS(AND(InvestorTable[[#This Row],[Investor Tally '#]] = 'Payment Tracker'!$A43, 'Payment Tracker'!$C43="Dividend") = TRUE, InvestorTable[[#This Row],[Monthly ROI (₦)]], AND(InvestorTable[[#This Row],[Investor Tally '#]] = 'Payment Tracker'!$A43, 'Payment Tracker'!$C43="Capital") = TRUE, InvestorTable[[#This Row],[Investment Capital (₦)]], AND(InvestorTable[[#This Row],[Investor Tally '#]] = 'Payment Tracker'!$A43, 'Payment Tracker'!$C43="Refund") = TRUE, InvestorTable[[#This Row],[Investment Capital (₦)]] )</f>
        <v>#N/A</v>
      </c>
      <c r="E43" s="15"/>
      <c r="F43" s="14"/>
      <c r="G43" s="14"/>
      <c r="H43" s="14"/>
    </row>
    <row r="44" spans="1:8" x14ac:dyDescent="0.3">
      <c r="A44" s="13"/>
      <c r="B44" s="16">
        <f>IF($A44=InvestorTable[[#This Row],[Investor Tally '#]],InvestorTable[[#This Row],[Investor Name]], NA())</f>
        <v>0</v>
      </c>
      <c r="C44" s="14"/>
      <c r="D44" s="17" t="e" cm="1">
        <f t="array" ref="D44">_xlfn.IFS(AND(InvestorTable[[#This Row],[Investor Tally '#]] = 'Payment Tracker'!$A44, 'Payment Tracker'!$C44="Dividend") = TRUE, InvestorTable[[#This Row],[Monthly ROI (₦)]], AND(InvestorTable[[#This Row],[Investor Tally '#]] = 'Payment Tracker'!$A44, 'Payment Tracker'!$C44="Capital") = TRUE, InvestorTable[[#This Row],[Investment Capital (₦)]], AND(InvestorTable[[#This Row],[Investor Tally '#]] = 'Payment Tracker'!$A44, 'Payment Tracker'!$C44="Refund") = TRUE, InvestorTable[[#This Row],[Investment Capital (₦)]] )</f>
        <v>#N/A</v>
      </c>
      <c r="E44" s="15"/>
      <c r="F44" s="14"/>
      <c r="G44" s="14"/>
      <c r="H44" s="14"/>
    </row>
    <row r="45" spans="1:8" x14ac:dyDescent="0.3">
      <c r="A45" s="13"/>
      <c r="B45" s="16">
        <f>IF($A45=InvestorTable[[#This Row],[Investor Tally '#]],InvestorTable[[#This Row],[Investor Name]], NA())</f>
        <v>0</v>
      </c>
      <c r="C45" s="14"/>
      <c r="D45" s="17" t="e" cm="1">
        <f t="array" ref="D45">_xlfn.IFS(AND(InvestorTable[[#This Row],[Investor Tally '#]] = 'Payment Tracker'!$A45, 'Payment Tracker'!$C45="Dividend") = TRUE, InvestorTable[[#This Row],[Monthly ROI (₦)]], AND(InvestorTable[[#This Row],[Investor Tally '#]] = 'Payment Tracker'!$A45, 'Payment Tracker'!$C45="Capital") = TRUE, InvestorTable[[#This Row],[Investment Capital (₦)]], AND(InvestorTable[[#This Row],[Investor Tally '#]] = 'Payment Tracker'!$A45, 'Payment Tracker'!$C45="Refund") = TRUE, InvestorTable[[#This Row],[Investment Capital (₦)]] )</f>
        <v>#N/A</v>
      </c>
      <c r="E45" s="15"/>
      <c r="F45" s="14"/>
      <c r="G45" s="14"/>
      <c r="H45" s="14"/>
    </row>
    <row r="46" spans="1:8" x14ac:dyDescent="0.3">
      <c r="A46" s="13"/>
      <c r="B46" s="16">
        <f>IF($A46=InvestorTable[[#This Row],[Investor Tally '#]],InvestorTable[[#This Row],[Investor Name]], NA())</f>
        <v>0</v>
      </c>
      <c r="C46" s="14"/>
      <c r="D46" s="17" t="e" cm="1">
        <f t="array" ref="D46">_xlfn.IFS(AND(InvestorTable[[#This Row],[Investor Tally '#]] = 'Payment Tracker'!$A46, 'Payment Tracker'!$C46="Dividend") = TRUE, InvestorTable[[#This Row],[Monthly ROI (₦)]], AND(InvestorTable[[#This Row],[Investor Tally '#]] = 'Payment Tracker'!$A46, 'Payment Tracker'!$C46="Capital") = TRUE, InvestorTable[[#This Row],[Investment Capital (₦)]], AND(InvestorTable[[#This Row],[Investor Tally '#]] = 'Payment Tracker'!$A46, 'Payment Tracker'!$C46="Refund") = TRUE, InvestorTable[[#This Row],[Investment Capital (₦)]] )</f>
        <v>#N/A</v>
      </c>
      <c r="E46" s="15"/>
      <c r="F46" s="14"/>
      <c r="G46" s="14"/>
      <c r="H46" s="14"/>
    </row>
    <row r="47" spans="1:8" x14ac:dyDescent="0.3">
      <c r="A47" s="13"/>
      <c r="B47" s="16">
        <f>IF($A47=InvestorTable[[#This Row],[Investor Tally '#]],InvestorTable[[#This Row],[Investor Name]], NA())</f>
        <v>0</v>
      </c>
      <c r="C47" s="14"/>
      <c r="D47" s="17" t="e" cm="1">
        <f t="array" ref="D47">_xlfn.IFS(AND(InvestorTable[[#This Row],[Investor Tally '#]] = 'Payment Tracker'!$A47, 'Payment Tracker'!$C47="Dividend") = TRUE, InvestorTable[[#This Row],[Monthly ROI (₦)]], AND(InvestorTable[[#This Row],[Investor Tally '#]] = 'Payment Tracker'!$A47, 'Payment Tracker'!$C47="Capital") = TRUE, InvestorTable[[#This Row],[Investment Capital (₦)]], AND(InvestorTable[[#This Row],[Investor Tally '#]] = 'Payment Tracker'!$A47, 'Payment Tracker'!$C47="Refund") = TRUE, InvestorTable[[#This Row],[Investment Capital (₦)]] )</f>
        <v>#N/A</v>
      </c>
      <c r="E47" s="15"/>
      <c r="F47" s="14"/>
      <c r="G47" s="14"/>
      <c r="H47" s="14"/>
    </row>
    <row r="48" spans="1:8" x14ac:dyDescent="0.3">
      <c r="A48" s="13"/>
      <c r="B48" s="16">
        <f>IF($A48=InvestorTable[[#This Row],[Investor Tally '#]],InvestorTable[[#This Row],[Investor Name]], NA())</f>
        <v>0</v>
      </c>
      <c r="C48" s="14"/>
      <c r="D48" s="17" t="e" cm="1">
        <f t="array" ref="D48">_xlfn.IFS(AND(InvestorTable[[#This Row],[Investor Tally '#]] = 'Payment Tracker'!$A48, 'Payment Tracker'!$C48="Dividend") = TRUE, InvestorTable[[#This Row],[Monthly ROI (₦)]], AND(InvestorTable[[#This Row],[Investor Tally '#]] = 'Payment Tracker'!$A48, 'Payment Tracker'!$C48="Capital") = TRUE, InvestorTable[[#This Row],[Investment Capital (₦)]], AND(InvestorTable[[#This Row],[Investor Tally '#]] = 'Payment Tracker'!$A48, 'Payment Tracker'!$C48="Refund") = TRUE, InvestorTable[[#This Row],[Investment Capital (₦)]] )</f>
        <v>#N/A</v>
      </c>
      <c r="E48" s="15"/>
      <c r="F48" s="14"/>
      <c r="G48" s="14"/>
      <c r="H48" s="14"/>
    </row>
    <row r="49" spans="1:8" x14ac:dyDescent="0.3">
      <c r="A49" s="13"/>
      <c r="B49" s="16">
        <f>IF($A49=InvestorTable[[#This Row],[Investor Tally '#]],InvestorTable[[#This Row],[Investor Name]], NA())</f>
        <v>0</v>
      </c>
      <c r="C49" s="14"/>
      <c r="D49" s="17" t="e" cm="1">
        <f t="array" ref="D49">_xlfn.IFS(AND(InvestorTable[[#This Row],[Investor Tally '#]] = 'Payment Tracker'!$A49, 'Payment Tracker'!$C49="Dividend") = TRUE, InvestorTable[[#This Row],[Monthly ROI (₦)]], AND(InvestorTable[[#This Row],[Investor Tally '#]] = 'Payment Tracker'!$A49, 'Payment Tracker'!$C49="Capital") = TRUE, InvestorTable[[#This Row],[Investment Capital (₦)]], AND(InvestorTable[[#This Row],[Investor Tally '#]] = 'Payment Tracker'!$A49, 'Payment Tracker'!$C49="Refund") = TRUE, InvestorTable[[#This Row],[Investment Capital (₦)]] )</f>
        <v>#N/A</v>
      </c>
      <c r="E49" s="15"/>
      <c r="F49" s="14"/>
      <c r="G49" s="14"/>
      <c r="H49" s="14"/>
    </row>
    <row r="50" spans="1:8" x14ac:dyDescent="0.3">
      <c r="A50" s="13"/>
      <c r="B50" s="16">
        <f>IF($A50=InvestorTable[[#This Row],[Investor Tally '#]],InvestorTable[[#This Row],[Investor Name]], NA())</f>
        <v>0</v>
      </c>
      <c r="C50" s="14"/>
      <c r="D50" s="17" t="e" cm="1">
        <f t="array" ref="D50">_xlfn.IFS(AND(InvestorTable[[#This Row],[Investor Tally '#]] = 'Payment Tracker'!$A50, 'Payment Tracker'!$C50="Dividend") = TRUE, InvestorTable[[#This Row],[Monthly ROI (₦)]], AND(InvestorTable[[#This Row],[Investor Tally '#]] = 'Payment Tracker'!$A50, 'Payment Tracker'!$C50="Capital") = TRUE, InvestorTable[[#This Row],[Investment Capital (₦)]], AND(InvestorTable[[#This Row],[Investor Tally '#]] = 'Payment Tracker'!$A50, 'Payment Tracker'!$C50="Refund") = TRUE, InvestorTable[[#This Row],[Investment Capital (₦)]] )</f>
        <v>#N/A</v>
      </c>
      <c r="E50" s="15"/>
      <c r="F50" s="14"/>
      <c r="G50" s="14"/>
      <c r="H50" s="14"/>
    </row>
    <row r="51" spans="1:8" x14ac:dyDescent="0.3">
      <c r="A51" s="13"/>
      <c r="B51" s="16">
        <f>IF($A51=InvestorTable[[#This Row],[Investor Tally '#]],InvestorTable[[#This Row],[Investor Name]], NA())</f>
        <v>0</v>
      </c>
      <c r="C51" s="14"/>
      <c r="D51" s="17" t="e" cm="1">
        <f t="array" ref="D51">_xlfn.IFS(AND(InvestorTable[[#This Row],[Investor Tally '#]] = 'Payment Tracker'!$A51, 'Payment Tracker'!$C51="Dividend") = TRUE, InvestorTable[[#This Row],[Monthly ROI (₦)]], AND(InvestorTable[[#This Row],[Investor Tally '#]] = 'Payment Tracker'!$A51, 'Payment Tracker'!$C51="Capital") = TRUE, InvestorTable[[#This Row],[Investment Capital (₦)]], AND(InvestorTable[[#This Row],[Investor Tally '#]] = 'Payment Tracker'!$A51, 'Payment Tracker'!$C51="Refund") = TRUE, InvestorTable[[#This Row],[Investment Capital (₦)]] )</f>
        <v>#N/A</v>
      </c>
      <c r="E51" s="15"/>
      <c r="F51" s="14"/>
      <c r="G51" s="14"/>
      <c r="H51" s="14"/>
    </row>
    <row r="52" spans="1:8" x14ac:dyDescent="0.3">
      <c r="A52" s="13"/>
      <c r="B52" s="16">
        <f>IF($A52=InvestorTable[[#This Row],[Investor Tally '#]],InvestorTable[[#This Row],[Investor Name]], NA())</f>
        <v>0</v>
      </c>
      <c r="C52" s="14"/>
      <c r="D52" s="17" t="e" cm="1">
        <f t="array" ref="D52">_xlfn.IFS(AND(InvestorTable[[#This Row],[Investor Tally '#]] = 'Payment Tracker'!$A52, 'Payment Tracker'!$C52="Dividend") = TRUE, InvestorTable[[#This Row],[Monthly ROI (₦)]], AND(InvestorTable[[#This Row],[Investor Tally '#]] = 'Payment Tracker'!$A52, 'Payment Tracker'!$C52="Capital") = TRUE, InvestorTable[[#This Row],[Investment Capital (₦)]], AND(InvestorTable[[#This Row],[Investor Tally '#]] = 'Payment Tracker'!$A52, 'Payment Tracker'!$C52="Refund") = TRUE, InvestorTable[[#This Row],[Investment Capital (₦)]] )</f>
        <v>#N/A</v>
      </c>
      <c r="E52" s="15"/>
      <c r="F52" s="14"/>
      <c r="G52" s="14"/>
      <c r="H52" s="14"/>
    </row>
    <row r="53" spans="1:8" x14ac:dyDescent="0.3">
      <c r="A53" s="13"/>
      <c r="B53" s="16">
        <f>IF($A53=InvestorTable[[#This Row],[Investor Tally '#]],InvestorTable[[#This Row],[Investor Name]], NA())</f>
        <v>0</v>
      </c>
      <c r="C53" s="14"/>
      <c r="D53" s="17" t="e" cm="1">
        <f t="array" ref="D53">_xlfn.IFS(AND(InvestorTable[[#This Row],[Investor Tally '#]] = 'Payment Tracker'!$A53, 'Payment Tracker'!$C53="Dividend") = TRUE, InvestorTable[[#This Row],[Monthly ROI (₦)]], AND(InvestorTable[[#This Row],[Investor Tally '#]] = 'Payment Tracker'!$A53, 'Payment Tracker'!$C53="Capital") = TRUE, InvestorTable[[#This Row],[Investment Capital (₦)]], AND(InvestorTable[[#This Row],[Investor Tally '#]] = 'Payment Tracker'!$A53, 'Payment Tracker'!$C53="Refund") = TRUE, InvestorTable[[#This Row],[Investment Capital (₦)]] )</f>
        <v>#N/A</v>
      </c>
      <c r="E53" s="15"/>
      <c r="F53" s="14"/>
      <c r="G53" s="14"/>
      <c r="H53" s="14"/>
    </row>
    <row r="54" spans="1:8" x14ac:dyDescent="0.3">
      <c r="A54" s="13"/>
      <c r="B54" s="16">
        <f>IF($A54=InvestorTable[[#This Row],[Investor Tally '#]],InvestorTable[[#This Row],[Investor Name]], NA())</f>
        <v>0</v>
      </c>
      <c r="C54" s="14"/>
      <c r="D54" s="17" t="e" cm="1">
        <f t="array" ref="D54">_xlfn.IFS(AND(InvestorTable[[#This Row],[Investor Tally '#]] = 'Payment Tracker'!$A54, 'Payment Tracker'!$C54="Dividend") = TRUE, InvestorTable[[#This Row],[Monthly ROI (₦)]], AND(InvestorTable[[#This Row],[Investor Tally '#]] = 'Payment Tracker'!$A54, 'Payment Tracker'!$C54="Capital") = TRUE, InvestorTable[[#This Row],[Investment Capital (₦)]], AND(InvestorTable[[#This Row],[Investor Tally '#]] = 'Payment Tracker'!$A54, 'Payment Tracker'!$C54="Refund") = TRUE, InvestorTable[[#This Row],[Investment Capital (₦)]] )</f>
        <v>#N/A</v>
      </c>
      <c r="E54" s="15"/>
      <c r="F54" s="14"/>
      <c r="G54" s="14"/>
      <c r="H54" s="14"/>
    </row>
    <row r="55" spans="1:8" x14ac:dyDescent="0.3">
      <c r="A55" s="13"/>
      <c r="B55" s="16">
        <f>IF($A55=InvestorTable[[#This Row],[Investor Tally '#]],InvestorTable[[#This Row],[Investor Name]], NA())</f>
        <v>0</v>
      </c>
      <c r="C55" s="14"/>
      <c r="D55" s="17" t="e" cm="1">
        <f t="array" ref="D55">_xlfn.IFS(AND(InvestorTable[[#This Row],[Investor Tally '#]] = 'Payment Tracker'!$A55, 'Payment Tracker'!$C55="Dividend") = TRUE, InvestorTable[[#This Row],[Monthly ROI (₦)]], AND(InvestorTable[[#This Row],[Investor Tally '#]] = 'Payment Tracker'!$A55, 'Payment Tracker'!$C55="Capital") = TRUE, InvestorTable[[#This Row],[Investment Capital (₦)]], AND(InvestorTable[[#This Row],[Investor Tally '#]] = 'Payment Tracker'!$A55, 'Payment Tracker'!$C55="Refund") = TRUE, InvestorTable[[#This Row],[Investment Capital (₦)]] )</f>
        <v>#N/A</v>
      </c>
      <c r="E55" s="15"/>
      <c r="F55" s="14"/>
      <c r="G55" s="14"/>
      <c r="H55" s="14"/>
    </row>
    <row r="56" spans="1:8" x14ac:dyDescent="0.3">
      <c r="A56" s="13"/>
      <c r="B56" s="16">
        <f>IF($A56=InvestorTable[[#This Row],[Investor Tally '#]],InvestorTable[[#This Row],[Investor Name]], NA())</f>
        <v>0</v>
      </c>
      <c r="C56" s="14"/>
      <c r="D56" s="17" t="e" cm="1">
        <f t="array" ref="D56">_xlfn.IFS(AND(InvestorTable[[#This Row],[Investor Tally '#]] = 'Payment Tracker'!$A56, 'Payment Tracker'!$C56="Dividend") = TRUE, InvestorTable[[#This Row],[Monthly ROI (₦)]], AND(InvestorTable[[#This Row],[Investor Tally '#]] = 'Payment Tracker'!$A56, 'Payment Tracker'!$C56="Capital") = TRUE, InvestorTable[[#This Row],[Investment Capital (₦)]], AND(InvestorTable[[#This Row],[Investor Tally '#]] = 'Payment Tracker'!$A56, 'Payment Tracker'!$C56="Refund") = TRUE, InvestorTable[[#This Row],[Investment Capital (₦)]] )</f>
        <v>#N/A</v>
      </c>
      <c r="E56" s="15"/>
      <c r="F56" s="14"/>
      <c r="G56" s="14"/>
      <c r="H56" s="14"/>
    </row>
    <row r="57" spans="1:8" x14ac:dyDescent="0.3">
      <c r="A57" s="13"/>
      <c r="B57" s="16">
        <f>IF($A57=InvestorTable[[#This Row],[Investor Tally '#]],InvestorTable[[#This Row],[Investor Name]], NA())</f>
        <v>0</v>
      </c>
      <c r="C57" s="14"/>
      <c r="D57" s="17" t="e" cm="1">
        <f t="array" ref="D57">_xlfn.IFS(AND(InvestorTable[[#This Row],[Investor Tally '#]] = 'Payment Tracker'!$A57, 'Payment Tracker'!$C57="Dividend") = TRUE, InvestorTable[[#This Row],[Monthly ROI (₦)]], AND(InvestorTable[[#This Row],[Investor Tally '#]] = 'Payment Tracker'!$A57, 'Payment Tracker'!$C57="Capital") = TRUE, InvestorTable[[#This Row],[Investment Capital (₦)]], AND(InvestorTable[[#This Row],[Investor Tally '#]] = 'Payment Tracker'!$A57, 'Payment Tracker'!$C57="Refund") = TRUE, InvestorTable[[#This Row],[Investment Capital (₦)]] )</f>
        <v>#N/A</v>
      </c>
      <c r="E57" s="15"/>
      <c r="F57" s="14"/>
      <c r="G57" s="14"/>
      <c r="H57" s="14"/>
    </row>
    <row r="58" spans="1:8" x14ac:dyDescent="0.3">
      <c r="A58" s="13"/>
      <c r="B58" s="16">
        <f>IF($A58=InvestorTable[[#This Row],[Investor Tally '#]],InvestorTable[[#This Row],[Investor Name]], NA())</f>
        <v>0</v>
      </c>
      <c r="C58" s="14"/>
      <c r="D58" s="17" t="e" cm="1">
        <f t="array" ref="D58">_xlfn.IFS(AND(InvestorTable[[#This Row],[Investor Tally '#]] = 'Payment Tracker'!$A58, 'Payment Tracker'!$C58="Dividend") = TRUE, InvestorTable[[#This Row],[Monthly ROI (₦)]], AND(InvestorTable[[#This Row],[Investor Tally '#]] = 'Payment Tracker'!$A58, 'Payment Tracker'!$C58="Capital") = TRUE, InvestorTable[[#This Row],[Investment Capital (₦)]], AND(InvestorTable[[#This Row],[Investor Tally '#]] = 'Payment Tracker'!$A58, 'Payment Tracker'!$C58="Refund") = TRUE, InvestorTable[[#This Row],[Investment Capital (₦)]] )</f>
        <v>#N/A</v>
      </c>
      <c r="E58" s="15"/>
      <c r="F58" s="14"/>
      <c r="G58" s="14"/>
      <c r="H58" s="14"/>
    </row>
    <row r="59" spans="1:8" x14ac:dyDescent="0.3">
      <c r="A59" s="13"/>
      <c r="B59" s="16">
        <f>IF($A59=InvestorTable[[#This Row],[Investor Tally '#]],InvestorTable[[#This Row],[Investor Name]], NA())</f>
        <v>0</v>
      </c>
      <c r="C59" s="14"/>
      <c r="D59" s="17" t="e" cm="1">
        <f t="array" ref="D59">_xlfn.IFS(AND(InvestorTable[[#This Row],[Investor Tally '#]] = 'Payment Tracker'!$A59, 'Payment Tracker'!$C59="Dividend") = TRUE, InvestorTable[[#This Row],[Monthly ROI (₦)]], AND(InvestorTable[[#This Row],[Investor Tally '#]] = 'Payment Tracker'!$A59, 'Payment Tracker'!$C59="Capital") = TRUE, InvestorTable[[#This Row],[Investment Capital (₦)]], AND(InvestorTable[[#This Row],[Investor Tally '#]] = 'Payment Tracker'!$A59, 'Payment Tracker'!$C59="Refund") = TRUE, InvestorTable[[#This Row],[Investment Capital (₦)]] )</f>
        <v>#N/A</v>
      </c>
      <c r="E59" s="15"/>
      <c r="F59" s="14"/>
      <c r="G59" s="14"/>
      <c r="H59" s="14"/>
    </row>
    <row r="60" spans="1:8" x14ac:dyDescent="0.3">
      <c r="A60" s="13"/>
      <c r="B60" s="16">
        <f>IF($A60=InvestorTable[[#This Row],[Investor Tally '#]],InvestorTable[[#This Row],[Investor Name]], NA())</f>
        <v>0</v>
      </c>
      <c r="C60" s="14"/>
      <c r="D60" s="17" t="e" cm="1">
        <f t="array" ref="D60">_xlfn.IFS(AND(InvestorTable[[#This Row],[Investor Tally '#]] = 'Payment Tracker'!$A60, 'Payment Tracker'!$C60="Dividend") = TRUE, InvestorTable[[#This Row],[Monthly ROI (₦)]], AND(InvestorTable[[#This Row],[Investor Tally '#]] = 'Payment Tracker'!$A60, 'Payment Tracker'!$C60="Capital") = TRUE, InvestorTable[[#This Row],[Investment Capital (₦)]], AND(InvestorTable[[#This Row],[Investor Tally '#]] = 'Payment Tracker'!$A60, 'Payment Tracker'!$C60="Refund") = TRUE, InvestorTable[[#This Row],[Investment Capital (₦)]] )</f>
        <v>#N/A</v>
      </c>
      <c r="E60" s="15"/>
      <c r="F60" s="14"/>
      <c r="G60" s="14"/>
      <c r="H60" s="14"/>
    </row>
    <row r="61" spans="1:8" x14ac:dyDescent="0.3">
      <c r="A61" s="13"/>
      <c r="B61" s="16">
        <f>IF($A61=InvestorTable[[#This Row],[Investor Tally '#]],InvestorTable[[#This Row],[Investor Name]], NA())</f>
        <v>0</v>
      </c>
      <c r="C61" s="14"/>
      <c r="D61" s="17" t="e" cm="1">
        <f t="array" ref="D61">_xlfn.IFS(AND(InvestorTable[[#This Row],[Investor Tally '#]] = 'Payment Tracker'!$A61, 'Payment Tracker'!$C61="Dividend") = TRUE, InvestorTable[[#This Row],[Monthly ROI (₦)]], AND(InvestorTable[[#This Row],[Investor Tally '#]] = 'Payment Tracker'!$A61, 'Payment Tracker'!$C61="Capital") = TRUE, InvestorTable[[#This Row],[Investment Capital (₦)]], AND(InvestorTable[[#This Row],[Investor Tally '#]] = 'Payment Tracker'!$A61, 'Payment Tracker'!$C61="Refund") = TRUE, InvestorTable[[#This Row],[Investment Capital (₦)]] )</f>
        <v>#N/A</v>
      </c>
      <c r="E61" s="15"/>
      <c r="F61" s="14"/>
      <c r="G61" s="14"/>
      <c r="H61" s="14"/>
    </row>
    <row r="62" spans="1:8" x14ac:dyDescent="0.3">
      <c r="A62" s="13"/>
      <c r="B62" s="16">
        <f>IF($A62=InvestorTable[[#This Row],[Investor Tally '#]],InvestorTable[[#This Row],[Investor Name]], NA())</f>
        <v>0</v>
      </c>
      <c r="C62" s="14"/>
      <c r="D62" s="17" t="e" cm="1">
        <f t="array" ref="D62">_xlfn.IFS(AND(InvestorTable[[#This Row],[Investor Tally '#]] = 'Payment Tracker'!$A62, 'Payment Tracker'!$C62="Dividend") = TRUE, InvestorTable[[#This Row],[Monthly ROI (₦)]], AND(InvestorTable[[#This Row],[Investor Tally '#]] = 'Payment Tracker'!$A62, 'Payment Tracker'!$C62="Capital") = TRUE, InvestorTable[[#This Row],[Investment Capital (₦)]], AND(InvestorTable[[#This Row],[Investor Tally '#]] = 'Payment Tracker'!$A62, 'Payment Tracker'!$C62="Refund") = TRUE, InvestorTable[[#This Row],[Investment Capital (₦)]] )</f>
        <v>#N/A</v>
      </c>
      <c r="E62" s="15"/>
      <c r="F62" s="14"/>
      <c r="G62" s="14"/>
      <c r="H62" s="14"/>
    </row>
    <row r="63" spans="1:8" x14ac:dyDescent="0.3">
      <c r="A63" s="13"/>
      <c r="B63" s="16">
        <f>IF($A63=InvestorTable[[#This Row],[Investor Tally '#]],InvestorTable[[#This Row],[Investor Name]], NA())</f>
        <v>0</v>
      </c>
      <c r="C63" s="14"/>
      <c r="D63" s="17" t="e" cm="1">
        <f t="array" ref="D63">_xlfn.IFS(AND(InvestorTable[[#This Row],[Investor Tally '#]] = 'Payment Tracker'!$A63, 'Payment Tracker'!$C63="Dividend") = TRUE, InvestorTable[[#This Row],[Monthly ROI (₦)]], AND(InvestorTable[[#This Row],[Investor Tally '#]] = 'Payment Tracker'!$A63, 'Payment Tracker'!$C63="Capital") = TRUE, InvestorTable[[#This Row],[Investment Capital (₦)]], AND(InvestorTable[[#This Row],[Investor Tally '#]] = 'Payment Tracker'!$A63, 'Payment Tracker'!$C63="Refund") = TRUE, InvestorTable[[#This Row],[Investment Capital (₦)]] )</f>
        <v>#N/A</v>
      </c>
      <c r="E63" s="15"/>
      <c r="F63" s="14"/>
      <c r="G63" s="14"/>
      <c r="H63" s="14"/>
    </row>
    <row r="64" spans="1:8" x14ac:dyDescent="0.3">
      <c r="A64" s="13"/>
      <c r="B64" s="16">
        <f>IF($A64=InvestorTable[[#This Row],[Investor Tally '#]],InvestorTable[[#This Row],[Investor Name]], NA())</f>
        <v>0</v>
      </c>
      <c r="C64" s="14"/>
      <c r="D64" s="17" t="e" cm="1">
        <f t="array" ref="D64">_xlfn.IFS(AND(InvestorTable[[#This Row],[Investor Tally '#]] = 'Payment Tracker'!$A64, 'Payment Tracker'!$C64="Dividend") = TRUE, InvestorTable[[#This Row],[Monthly ROI (₦)]], AND(InvestorTable[[#This Row],[Investor Tally '#]] = 'Payment Tracker'!$A64, 'Payment Tracker'!$C64="Capital") = TRUE, InvestorTable[[#This Row],[Investment Capital (₦)]], AND(InvestorTable[[#This Row],[Investor Tally '#]] = 'Payment Tracker'!$A64, 'Payment Tracker'!$C64="Refund") = TRUE, InvestorTable[[#This Row],[Investment Capital (₦)]] )</f>
        <v>#N/A</v>
      </c>
      <c r="E64" s="15"/>
      <c r="F64" s="14"/>
      <c r="G64" s="14"/>
      <c r="H64" s="14"/>
    </row>
    <row r="65" spans="1:8" x14ac:dyDescent="0.3">
      <c r="A65" s="13"/>
      <c r="B65" s="16">
        <f>IF($A65=InvestorTable[[#This Row],[Investor Tally '#]],InvestorTable[[#This Row],[Investor Name]], NA())</f>
        <v>0</v>
      </c>
      <c r="C65" s="14"/>
      <c r="D65" s="17" t="e" cm="1">
        <f t="array" ref="D65">_xlfn.IFS(AND(InvestorTable[[#This Row],[Investor Tally '#]] = 'Payment Tracker'!$A65, 'Payment Tracker'!$C65="Dividend") = TRUE, InvestorTable[[#This Row],[Monthly ROI (₦)]], AND(InvestorTable[[#This Row],[Investor Tally '#]] = 'Payment Tracker'!$A65, 'Payment Tracker'!$C65="Capital") = TRUE, InvestorTable[[#This Row],[Investment Capital (₦)]], AND(InvestorTable[[#This Row],[Investor Tally '#]] = 'Payment Tracker'!$A65, 'Payment Tracker'!$C65="Refund") = TRUE, InvestorTable[[#This Row],[Investment Capital (₦)]] )</f>
        <v>#N/A</v>
      </c>
      <c r="E65" s="15"/>
      <c r="F65" s="14"/>
      <c r="G65" s="14"/>
      <c r="H65" s="14"/>
    </row>
    <row r="66" spans="1:8" x14ac:dyDescent="0.3">
      <c r="A66" s="13"/>
      <c r="B66" s="16">
        <f>IF($A66=InvestorTable[[#This Row],[Investor Tally '#]],InvestorTable[[#This Row],[Investor Name]], NA())</f>
        <v>0</v>
      </c>
      <c r="C66" s="14"/>
      <c r="D66" s="17" t="e" cm="1">
        <f t="array" ref="D66">_xlfn.IFS(AND(InvestorTable[[#This Row],[Investor Tally '#]] = 'Payment Tracker'!$A66, 'Payment Tracker'!$C66="Dividend") = TRUE, InvestorTable[[#This Row],[Monthly ROI (₦)]], AND(InvestorTable[[#This Row],[Investor Tally '#]] = 'Payment Tracker'!$A66, 'Payment Tracker'!$C66="Capital") = TRUE, InvestorTable[[#This Row],[Investment Capital (₦)]], AND(InvestorTable[[#This Row],[Investor Tally '#]] = 'Payment Tracker'!$A66, 'Payment Tracker'!$C66="Refund") = TRUE, InvestorTable[[#This Row],[Investment Capital (₦)]] )</f>
        <v>#N/A</v>
      </c>
      <c r="E66" s="15"/>
      <c r="F66" s="14"/>
      <c r="G66" s="14"/>
      <c r="H66" s="14"/>
    </row>
    <row r="67" spans="1:8" x14ac:dyDescent="0.3">
      <c r="A67" s="13"/>
      <c r="B67" s="16">
        <f>IF($A67=InvestorTable[[#This Row],[Investor Tally '#]],InvestorTable[[#This Row],[Investor Name]], NA())</f>
        <v>0</v>
      </c>
      <c r="C67" s="14"/>
      <c r="D67" s="17" t="e" cm="1">
        <f t="array" ref="D67">_xlfn.IFS(AND(InvestorTable[[#This Row],[Investor Tally '#]] = 'Payment Tracker'!$A67, 'Payment Tracker'!$C67="Dividend") = TRUE, InvestorTable[[#This Row],[Monthly ROI (₦)]], AND(InvestorTable[[#This Row],[Investor Tally '#]] = 'Payment Tracker'!$A67, 'Payment Tracker'!$C67="Capital") = TRUE, InvestorTable[[#This Row],[Investment Capital (₦)]], AND(InvestorTable[[#This Row],[Investor Tally '#]] = 'Payment Tracker'!$A67, 'Payment Tracker'!$C67="Refund") = TRUE, InvestorTable[[#This Row],[Investment Capital (₦)]] )</f>
        <v>#N/A</v>
      </c>
      <c r="E67" s="15"/>
      <c r="F67" s="14"/>
      <c r="G67" s="14"/>
      <c r="H67" s="14"/>
    </row>
    <row r="68" spans="1:8" x14ac:dyDescent="0.3">
      <c r="A68" s="13"/>
      <c r="B68" s="16">
        <f>IF($A68=InvestorTable[[#This Row],[Investor Tally '#]],InvestorTable[[#This Row],[Investor Name]], NA())</f>
        <v>0</v>
      </c>
      <c r="C68" s="14"/>
      <c r="D68" s="17" t="e" cm="1">
        <f t="array" ref="D68">_xlfn.IFS(AND(InvestorTable[[#This Row],[Investor Tally '#]] = 'Payment Tracker'!$A68, 'Payment Tracker'!$C68="Dividend") = TRUE, InvestorTable[[#This Row],[Monthly ROI (₦)]], AND(InvestorTable[[#This Row],[Investor Tally '#]] = 'Payment Tracker'!$A68, 'Payment Tracker'!$C68="Capital") = TRUE, InvestorTable[[#This Row],[Investment Capital (₦)]], AND(InvestorTable[[#This Row],[Investor Tally '#]] = 'Payment Tracker'!$A68, 'Payment Tracker'!$C68="Refund") = TRUE, InvestorTable[[#This Row],[Investment Capital (₦)]] )</f>
        <v>#N/A</v>
      </c>
      <c r="E68" s="15"/>
      <c r="F68" s="14"/>
      <c r="G68" s="14"/>
      <c r="H68" s="14"/>
    </row>
    <row r="69" spans="1:8" x14ac:dyDescent="0.3">
      <c r="A69" s="13"/>
      <c r="B69" s="16">
        <f>IF($A69=InvestorTable[[#This Row],[Investor Tally '#]],InvestorTable[[#This Row],[Investor Name]], NA())</f>
        <v>0</v>
      </c>
      <c r="C69" s="14"/>
      <c r="D69" s="17" t="e" cm="1">
        <f t="array" ref="D69">_xlfn.IFS(AND(InvestorTable[[#This Row],[Investor Tally '#]] = 'Payment Tracker'!$A69, 'Payment Tracker'!$C69="Dividend") = TRUE, InvestorTable[[#This Row],[Monthly ROI (₦)]], AND(InvestorTable[[#This Row],[Investor Tally '#]] = 'Payment Tracker'!$A69, 'Payment Tracker'!$C69="Capital") = TRUE, InvestorTable[[#This Row],[Investment Capital (₦)]], AND(InvestorTable[[#This Row],[Investor Tally '#]] = 'Payment Tracker'!$A69, 'Payment Tracker'!$C69="Refund") = TRUE, InvestorTable[[#This Row],[Investment Capital (₦)]] )</f>
        <v>#N/A</v>
      </c>
      <c r="E69" s="15"/>
      <c r="F69" s="14"/>
      <c r="G69" s="14"/>
      <c r="H69" s="14"/>
    </row>
    <row r="70" spans="1:8" x14ac:dyDescent="0.3">
      <c r="A70" s="13"/>
      <c r="B70" s="16">
        <f>IF($A70=InvestorTable[[#This Row],[Investor Tally '#]],InvestorTable[[#This Row],[Investor Name]], NA())</f>
        <v>0</v>
      </c>
      <c r="C70" s="14"/>
      <c r="D70" s="17" t="e" cm="1">
        <f t="array" ref="D70">_xlfn.IFS(AND(InvestorTable[[#This Row],[Investor Tally '#]] = 'Payment Tracker'!$A70, 'Payment Tracker'!$C70="Dividend") = TRUE, InvestorTable[[#This Row],[Monthly ROI (₦)]], AND(InvestorTable[[#This Row],[Investor Tally '#]] = 'Payment Tracker'!$A70, 'Payment Tracker'!$C70="Capital") = TRUE, InvestorTable[[#This Row],[Investment Capital (₦)]], AND(InvestorTable[[#This Row],[Investor Tally '#]] = 'Payment Tracker'!$A70, 'Payment Tracker'!$C70="Refund") = TRUE, InvestorTable[[#This Row],[Investment Capital (₦)]] )</f>
        <v>#N/A</v>
      </c>
      <c r="E70" s="15"/>
      <c r="F70" s="14"/>
      <c r="G70" s="14"/>
      <c r="H70" s="14"/>
    </row>
    <row r="71" spans="1:8" x14ac:dyDescent="0.3">
      <c r="A71" s="13"/>
      <c r="B71" s="16">
        <f>IF($A71=InvestorTable[[#This Row],[Investor Tally '#]],InvestorTable[[#This Row],[Investor Name]], NA())</f>
        <v>0</v>
      </c>
      <c r="C71" s="14"/>
      <c r="D71" s="17" t="e" cm="1">
        <f t="array" ref="D71">_xlfn.IFS(AND(InvestorTable[[#This Row],[Investor Tally '#]] = 'Payment Tracker'!$A71, 'Payment Tracker'!$C71="Dividend") = TRUE, InvestorTable[[#This Row],[Monthly ROI (₦)]], AND(InvestorTable[[#This Row],[Investor Tally '#]] = 'Payment Tracker'!$A71, 'Payment Tracker'!$C71="Capital") = TRUE, InvestorTable[[#This Row],[Investment Capital (₦)]], AND(InvestorTable[[#This Row],[Investor Tally '#]] = 'Payment Tracker'!$A71, 'Payment Tracker'!$C71="Refund") = TRUE, InvestorTable[[#This Row],[Investment Capital (₦)]] )</f>
        <v>#N/A</v>
      </c>
      <c r="E71" s="15"/>
      <c r="F71" s="14"/>
      <c r="G71" s="14"/>
      <c r="H71" s="14"/>
    </row>
    <row r="72" spans="1:8" x14ac:dyDescent="0.3">
      <c r="A72" s="13"/>
      <c r="B72" s="16">
        <f>IF($A72=InvestorTable[[#This Row],[Investor Tally '#]],InvestorTable[[#This Row],[Investor Name]], NA())</f>
        <v>0</v>
      </c>
      <c r="C72" s="14"/>
      <c r="D72" s="17" t="e" cm="1">
        <f t="array" ref="D72">_xlfn.IFS(AND(InvestorTable[[#This Row],[Investor Tally '#]] = 'Payment Tracker'!$A72, 'Payment Tracker'!$C72="Dividend") = TRUE, InvestorTable[[#This Row],[Monthly ROI (₦)]], AND(InvestorTable[[#This Row],[Investor Tally '#]] = 'Payment Tracker'!$A72, 'Payment Tracker'!$C72="Capital") = TRUE, InvestorTable[[#This Row],[Investment Capital (₦)]], AND(InvestorTable[[#This Row],[Investor Tally '#]] = 'Payment Tracker'!$A72, 'Payment Tracker'!$C72="Refund") = TRUE, InvestorTable[[#This Row],[Investment Capital (₦)]] )</f>
        <v>#N/A</v>
      </c>
      <c r="E72" s="15"/>
      <c r="F72" s="14"/>
      <c r="G72" s="14"/>
      <c r="H72" s="14"/>
    </row>
    <row r="73" spans="1:8" x14ac:dyDescent="0.3">
      <c r="A73" s="13"/>
      <c r="B73" s="16">
        <f>IF($A73=InvestorTable[[#This Row],[Investor Tally '#]],InvestorTable[[#This Row],[Investor Name]], NA())</f>
        <v>0</v>
      </c>
      <c r="C73" s="14"/>
      <c r="D73" s="17" t="e" cm="1">
        <f t="array" ref="D73">_xlfn.IFS(AND(InvestorTable[[#This Row],[Investor Tally '#]] = 'Payment Tracker'!$A73, 'Payment Tracker'!$C73="Dividend") = TRUE, InvestorTable[[#This Row],[Monthly ROI (₦)]], AND(InvestorTable[[#This Row],[Investor Tally '#]] = 'Payment Tracker'!$A73, 'Payment Tracker'!$C73="Capital") = TRUE, InvestorTable[[#This Row],[Investment Capital (₦)]], AND(InvestorTable[[#This Row],[Investor Tally '#]] = 'Payment Tracker'!$A73, 'Payment Tracker'!$C73="Refund") = TRUE, InvestorTable[[#This Row],[Investment Capital (₦)]] )</f>
        <v>#N/A</v>
      </c>
      <c r="E73" s="15"/>
      <c r="F73" s="14"/>
      <c r="G73" s="14"/>
      <c r="H73" s="14"/>
    </row>
    <row r="74" spans="1:8" x14ac:dyDescent="0.3">
      <c r="A74" s="13"/>
      <c r="B74" s="16">
        <f>IF($A74=InvestorTable[[#This Row],[Investor Tally '#]],InvestorTable[[#This Row],[Investor Name]], NA())</f>
        <v>0</v>
      </c>
      <c r="C74" s="14"/>
      <c r="D74" s="17" t="e" cm="1">
        <f t="array" ref="D74">_xlfn.IFS(AND(InvestorTable[[#This Row],[Investor Tally '#]] = 'Payment Tracker'!$A74, 'Payment Tracker'!$C74="Dividend") = TRUE, InvestorTable[[#This Row],[Monthly ROI (₦)]], AND(InvestorTable[[#This Row],[Investor Tally '#]] = 'Payment Tracker'!$A74, 'Payment Tracker'!$C74="Capital") = TRUE, InvestorTable[[#This Row],[Investment Capital (₦)]], AND(InvestorTable[[#This Row],[Investor Tally '#]] = 'Payment Tracker'!$A74, 'Payment Tracker'!$C74="Refund") = TRUE, InvestorTable[[#This Row],[Investment Capital (₦)]] )</f>
        <v>#N/A</v>
      </c>
      <c r="E74" s="15"/>
      <c r="F74" s="14"/>
      <c r="G74" s="14"/>
      <c r="H74" s="14"/>
    </row>
    <row r="75" spans="1:8" x14ac:dyDescent="0.3">
      <c r="A75" s="13"/>
      <c r="B75" s="16">
        <f>IF($A75=InvestorTable[[#This Row],[Investor Tally '#]],InvestorTable[[#This Row],[Investor Name]], NA())</f>
        <v>0</v>
      </c>
      <c r="C75" s="14"/>
      <c r="D75" s="17" t="e" cm="1">
        <f t="array" ref="D75">_xlfn.IFS(AND(InvestorTable[[#This Row],[Investor Tally '#]] = 'Payment Tracker'!$A75, 'Payment Tracker'!$C75="Dividend") = TRUE, InvestorTable[[#This Row],[Monthly ROI (₦)]], AND(InvestorTable[[#This Row],[Investor Tally '#]] = 'Payment Tracker'!$A75, 'Payment Tracker'!$C75="Capital") = TRUE, InvestorTable[[#This Row],[Investment Capital (₦)]], AND(InvestorTable[[#This Row],[Investor Tally '#]] = 'Payment Tracker'!$A75, 'Payment Tracker'!$C75="Refund") = TRUE, InvestorTable[[#This Row],[Investment Capital (₦)]] )</f>
        <v>#N/A</v>
      </c>
      <c r="E75" s="15"/>
      <c r="F75" s="14"/>
      <c r="G75" s="14"/>
      <c r="H75" s="14"/>
    </row>
    <row r="76" spans="1:8" x14ac:dyDescent="0.3">
      <c r="A76" s="13"/>
      <c r="B76" s="16">
        <f>IF($A76=InvestorTable[[#This Row],[Investor Tally '#]],InvestorTable[[#This Row],[Investor Name]], NA())</f>
        <v>0</v>
      </c>
      <c r="C76" s="14"/>
      <c r="D76" s="17" t="e" cm="1">
        <f t="array" ref="D76">_xlfn.IFS(AND(InvestorTable[[#This Row],[Investor Tally '#]] = 'Payment Tracker'!$A76, 'Payment Tracker'!$C76="Dividend") = TRUE, InvestorTable[[#This Row],[Monthly ROI (₦)]], AND(InvestorTable[[#This Row],[Investor Tally '#]] = 'Payment Tracker'!$A76, 'Payment Tracker'!$C76="Capital") = TRUE, InvestorTable[[#This Row],[Investment Capital (₦)]], AND(InvestorTable[[#This Row],[Investor Tally '#]] = 'Payment Tracker'!$A76, 'Payment Tracker'!$C76="Refund") = TRUE, InvestorTable[[#This Row],[Investment Capital (₦)]] )</f>
        <v>#N/A</v>
      </c>
      <c r="E76" s="15"/>
      <c r="F76" s="14"/>
      <c r="G76" s="14"/>
      <c r="H76" s="14"/>
    </row>
    <row r="77" spans="1:8" x14ac:dyDescent="0.3">
      <c r="A77" s="13"/>
      <c r="B77" s="16">
        <f>IF($A77=InvestorTable[[#This Row],[Investor Tally '#]],InvestorTable[[#This Row],[Investor Name]], NA())</f>
        <v>0</v>
      </c>
      <c r="C77" s="14"/>
      <c r="D77" s="17" t="e" cm="1">
        <f t="array" ref="D77">_xlfn.IFS(AND(InvestorTable[[#This Row],[Investor Tally '#]] = 'Payment Tracker'!$A77, 'Payment Tracker'!$C77="Dividend") = TRUE, InvestorTable[[#This Row],[Monthly ROI (₦)]], AND(InvestorTable[[#This Row],[Investor Tally '#]] = 'Payment Tracker'!$A77, 'Payment Tracker'!$C77="Capital") = TRUE, InvestorTable[[#This Row],[Investment Capital (₦)]], AND(InvestorTable[[#This Row],[Investor Tally '#]] = 'Payment Tracker'!$A77, 'Payment Tracker'!$C77="Refund") = TRUE, InvestorTable[[#This Row],[Investment Capital (₦)]] )</f>
        <v>#N/A</v>
      </c>
      <c r="E77" s="15"/>
      <c r="F77" s="14"/>
      <c r="G77" s="14"/>
      <c r="H77" s="14"/>
    </row>
    <row r="78" spans="1:8" x14ac:dyDescent="0.3">
      <c r="A78" s="13"/>
      <c r="B78" s="16">
        <f>IF($A78=InvestorTable[[#This Row],[Investor Tally '#]],InvestorTable[[#This Row],[Investor Name]], NA())</f>
        <v>0</v>
      </c>
      <c r="C78" s="14"/>
      <c r="D78" s="17" t="e" cm="1">
        <f t="array" ref="D78">_xlfn.IFS(AND(InvestorTable[[#This Row],[Investor Tally '#]] = 'Payment Tracker'!$A78, 'Payment Tracker'!$C78="Dividend") = TRUE, InvestorTable[[#This Row],[Monthly ROI (₦)]], AND(InvestorTable[[#This Row],[Investor Tally '#]] = 'Payment Tracker'!$A78, 'Payment Tracker'!$C78="Capital") = TRUE, InvestorTable[[#This Row],[Investment Capital (₦)]], AND(InvestorTable[[#This Row],[Investor Tally '#]] = 'Payment Tracker'!$A78, 'Payment Tracker'!$C78="Refund") = TRUE, InvestorTable[[#This Row],[Investment Capital (₦)]] )</f>
        <v>#N/A</v>
      </c>
      <c r="E78" s="15"/>
      <c r="F78" s="14"/>
      <c r="G78" s="14"/>
      <c r="H78" s="14"/>
    </row>
    <row r="79" spans="1:8" x14ac:dyDescent="0.3">
      <c r="A79" s="13"/>
      <c r="B79" s="16">
        <f>IF($A79=InvestorTable[[#This Row],[Investor Tally '#]],InvestorTable[[#This Row],[Investor Name]], NA())</f>
        <v>0</v>
      </c>
      <c r="C79" s="14"/>
      <c r="D79" s="17" t="e" cm="1">
        <f t="array" ref="D79">_xlfn.IFS(AND(InvestorTable[[#This Row],[Investor Tally '#]] = 'Payment Tracker'!$A79, 'Payment Tracker'!$C79="Dividend") = TRUE, InvestorTable[[#This Row],[Monthly ROI (₦)]], AND(InvestorTable[[#This Row],[Investor Tally '#]] = 'Payment Tracker'!$A79, 'Payment Tracker'!$C79="Capital") = TRUE, InvestorTable[[#This Row],[Investment Capital (₦)]], AND(InvestorTable[[#This Row],[Investor Tally '#]] = 'Payment Tracker'!$A79, 'Payment Tracker'!$C79="Refund") = TRUE, InvestorTable[[#This Row],[Investment Capital (₦)]] )</f>
        <v>#N/A</v>
      </c>
      <c r="E79" s="15"/>
      <c r="F79" s="14"/>
      <c r="G79" s="14"/>
      <c r="H79" s="14"/>
    </row>
    <row r="80" spans="1:8" x14ac:dyDescent="0.3">
      <c r="A80" s="13"/>
      <c r="B80" s="16">
        <f>IF($A80=InvestorTable[[#This Row],[Investor Tally '#]],InvestorTable[[#This Row],[Investor Name]], NA())</f>
        <v>0</v>
      </c>
      <c r="C80" s="14"/>
      <c r="D80" s="17" t="e" cm="1">
        <f t="array" ref="D80">_xlfn.IFS(AND(InvestorTable[[#This Row],[Investor Tally '#]] = 'Payment Tracker'!$A80, 'Payment Tracker'!$C80="Dividend") = TRUE, InvestorTable[[#This Row],[Monthly ROI (₦)]], AND(InvestorTable[[#This Row],[Investor Tally '#]] = 'Payment Tracker'!$A80, 'Payment Tracker'!$C80="Capital") = TRUE, InvestorTable[[#This Row],[Investment Capital (₦)]], AND(InvestorTable[[#This Row],[Investor Tally '#]] = 'Payment Tracker'!$A80, 'Payment Tracker'!$C80="Refund") = TRUE, InvestorTable[[#This Row],[Investment Capital (₦)]] )</f>
        <v>#N/A</v>
      </c>
      <c r="E80" s="15"/>
      <c r="F80" s="14"/>
      <c r="G80" s="14"/>
      <c r="H80" s="14"/>
    </row>
    <row r="81" spans="1:8" x14ac:dyDescent="0.3">
      <c r="A81" s="13"/>
      <c r="B81" s="16">
        <f>IF($A81=InvestorTable[[#This Row],[Investor Tally '#]],InvestorTable[[#This Row],[Investor Name]], NA())</f>
        <v>0</v>
      </c>
      <c r="C81" s="14"/>
      <c r="D81" s="17" t="e" cm="1">
        <f t="array" ref="D81">_xlfn.IFS(AND(InvestorTable[[#This Row],[Investor Tally '#]] = 'Payment Tracker'!$A81, 'Payment Tracker'!$C81="Dividend") = TRUE, InvestorTable[[#This Row],[Monthly ROI (₦)]], AND(InvestorTable[[#This Row],[Investor Tally '#]] = 'Payment Tracker'!$A81, 'Payment Tracker'!$C81="Capital") = TRUE, InvestorTable[[#This Row],[Investment Capital (₦)]], AND(InvestorTable[[#This Row],[Investor Tally '#]] = 'Payment Tracker'!$A81, 'Payment Tracker'!$C81="Refund") = TRUE, InvestorTable[[#This Row],[Investment Capital (₦)]] )</f>
        <v>#N/A</v>
      </c>
      <c r="E81" s="15"/>
      <c r="F81" s="14"/>
      <c r="G81" s="14"/>
      <c r="H81" s="14"/>
    </row>
    <row r="82" spans="1:8" x14ac:dyDescent="0.3">
      <c r="A82" s="13"/>
      <c r="B82" s="16">
        <f>IF($A82=InvestorTable[[#This Row],[Investor Tally '#]],InvestorTable[[#This Row],[Investor Name]], NA())</f>
        <v>0</v>
      </c>
      <c r="C82" s="14"/>
      <c r="D82" s="17" t="e" cm="1">
        <f t="array" ref="D82">_xlfn.IFS(AND(InvestorTable[[#This Row],[Investor Tally '#]] = 'Payment Tracker'!$A82, 'Payment Tracker'!$C82="Dividend") = TRUE, InvestorTable[[#This Row],[Monthly ROI (₦)]], AND(InvestorTable[[#This Row],[Investor Tally '#]] = 'Payment Tracker'!$A82, 'Payment Tracker'!$C82="Capital") = TRUE, InvestorTable[[#This Row],[Investment Capital (₦)]], AND(InvestorTable[[#This Row],[Investor Tally '#]] = 'Payment Tracker'!$A82, 'Payment Tracker'!$C82="Refund") = TRUE, InvestorTable[[#This Row],[Investment Capital (₦)]] )</f>
        <v>#N/A</v>
      </c>
      <c r="E82" s="15"/>
      <c r="F82" s="14"/>
      <c r="G82" s="14"/>
      <c r="H82" s="14"/>
    </row>
    <row r="83" spans="1:8" x14ac:dyDescent="0.3">
      <c r="A83" s="13"/>
      <c r="B83" s="16">
        <f>IF($A83=InvestorTable[[#This Row],[Investor Tally '#]],InvestorTable[[#This Row],[Investor Name]], NA())</f>
        <v>0</v>
      </c>
      <c r="C83" s="14"/>
      <c r="D83" s="17" t="e" cm="1">
        <f t="array" ref="D83">_xlfn.IFS(AND(InvestorTable[[#This Row],[Investor Tally '#]] = 'Payment Tracker'!$A83, 'Payment Tracker'!$C83="Dividend") = TRUE, InvestorTable[[#This Row],[Monthly ROI (₦)]], AND(InvestorTable[[#This Row],[Investor Tally '#]] = 'Payment Tracker'!$A83, 'Payment Tracker'!$C83="Capital") = TRUE, InvestorTable[[#This Row],[Investment Capital (₦)]], AND(InvestorTable[[#This Row],[Investor Tally '#]] = 'Payment Tracker'!$A83, 'Payment Tracker'!$C83="Refund") = TRUE, InvestorTable[[#This Row],[Investment Capital (₦)]] )</f>
        <v>#N/A</v>
      </c>
      <c r="E83" s="15"/>
      <c r="F83" s="14"/>
      <c r="G83" s="14"/>
      <c r="H83" s="14"/>
    </row>
    <row r="84" spans="1:8" x14ac:dyDescent="0.3">
      <c r="A84" s="13"/>
      <c r="B84" s="16">
        <f>IF($A84=InvestorTable[[#This Row],[Investor Tally '#]],InvestorTable[[#This Row],[Investor Name]], NA())</f>
        <v>0</v>
      </c>
      <c r="C84" s="14"/>
      <c r="D84" s="17" t="e" cm="1">
        <f t="array" ref="D84">_xlfn.IFS(AND(InvestorTable[[#This Row],[Investor Tally '#]] = 'Payment Tracker'!$A84, 'Payment Tracker'!$C84="Dividend") = TRUE, InvestorTable[[#This Row],[Monthly ROI (₦)]], AND(InvestorTable[[#This Row],[Investor Tally '#]] = 'Payment Tracker'!$A84, 'Payment Tracker'!$C84="Capital") = TRUE, InvestorTable[[#This Row],[Investment Capital (₦)]], AND(InvestorTable[[#This Row],[Investor Tally '#]] = 'Payment Tracker'!$A84, 'Payment Tracker'!$C84="Refund") = TRUE, InvestorTable[[#This Row],[Investment Capital (₦)]] )</f>
        <v>#N/A</v>
      </c>
      <c r="E84" s="15"/>
      <c r="F84" s="14"/>
      <c r="G84" s="14"/>
      <c r="H84" s="14"/>
    </row>
    <row r="85" spans="1:8" x14ac:dyDescent="0.3">
      <c r="A85" s="13"/>
      <c r="B85" s="16">
        <f>IF($A85=InvestorTable[[#This Row],[Investor Tally '#]],InvestorTable[[#This Row],[Investor Name]], NA())</f>
        <v>0</v>
      </c>
      <c r="C85" s="14"/>
      <c r="D85" s="17" t="e" cm="1">
        <f t="array" ref="D85">_xlfn.IFS(AND(InvestorTable[[#This Row],[Investor Tally '#]] = 'Payment Tracker'!$A85, 'Payment Tracker'!$C85="Dividend") = TRUE, InvestorTable[[#This Row],[Monthly ROI (₦)]], AND(InvestorTable[[#This Row],[Investor Tally '#]] = 'Payment Tracker'!$A85, 'Payment Tracker'!$C85="Capital") = TRUE, InvestorTable[[#This Row],[Investment Capital (₦)]], AND(InvestorTable[[#This Row],[Investor Tally '#]] = 'Payment Tracker'!$A85, 'Payment Tracker'!$C85="Refund") = TRUE, InvestorTable[[#This Row],[Investment Capital (₦)]] )</f>
        <v>#N/A</v>
      </c>
      <c r="E85" s="15"/>
      <c r="F85" s="14"/>
      <c r="G85" s="14"/>
      <c r="H85" s="14"/>
    </row>
    <row r="86" spans="1:8" x14ac:dyDescent="0.3">
      <c r="A86" s="13"/>
      <c r="B86" s="16">
        <f>IF($A86=InvestorTable[[#This Row],[Investor Tally '#]],InvestorTable[[#This Row],[Investor Name]], NA())</f>
        <v>0</v>
      </c>
      <c r="C86" s="14"/>
      <c r="D86" s="17" t="e" cm="1">
        <f t="array" ref="D86">_xlfn.IFS(AND(InvestorTable[[#This Row],[Investor Tally '#]] = 'Payment Tracker'!$A86, 'Payment Tracker'!$C86="Dividend") = TRUE, InvestorTable[[#This Row],[Monthly ROI (₦)]], AND(InvestorTable[[#This Row],[Investor Tally '#]] = 'Payment Tracker'!$A86, 'Payment Tracker'!$C86="Capital") = TRUE, InvestorTable[[#This Row],[Investment Capital (₦)]], AND(InvestorTable[[#This Row],[Investor Tally '#]] = 'Payment Tracker'!$A86, 'Payment Tracker'!$C86="Refund") = TRUE, InvestorTable[[#This Row],[Investment Capital (₦)]] )</f>
        <v>#N/A</v>
      </c>
      <c r="E86" s="15"/>
      <c r="F86" s="14"/>
      <c r="G86" s="14"/>
      <c r="H86" s="14"/>
    </row>
    <row r="87" spans="1:8" x14ac:dyDescent="0.3">
      <c r="A87" s="13"/>
      <c r="B87" s="16">
        <f>IF($A87=InvestorTable[[#This Row],[Investor Tally '#]],InvestorTable[[#This Row],[Investor Name]], NA())</f>
        <v>0</v>
      </c>
      <c r="C87" s="14"/>
      <c r="D87" s="17" t="e" cm="1">
        <f t="array" ref="D87">_xlfn.IFS(AND(InvestorTable[[#This Row],[Investor Tally '#]] = 'Payment Tracker'!$A87, 'Payment Tracker'!$C87="Dividend") = TRUE, InvestorTable[[#This Row],[Monthly ROI (₦)]], AND(InvestorTable[[#This Row],[Investor Tally '#]] = 'Payment Tracker'!$A87, 'Payment Tracker'!$C87="Capital") = TRUE, InvestorTable[[#This Row],[Investment Capital (₦)]], AND(InvestorTable[[#This Row],[Investor Tally '#]] = 'Payment Tracker'!$A87, 'Payment Tracker'!$C87="Refund") = TRUE, InvestorTable[[#This Row],[Investment Capital (₦)]] )</f>
        <v>#N/A</v>
      </c>
      <c r="E87" s="15"/>
      <c r="F87" s="14"/>
      <c r="G87" s="14"/>
      <c r="H87" s="14"/>
    </row>
    <row r="88" spans="1:8" x14ac:dyDescent="0.3">
      <c r="A88" s="13"/>
      <c r="B88" s="16">
        <f>IF($A88=InvestorTable[[#This Row],[Investor Tally '#]],InvestorTable[[#This Row],[Investor Name]], NA())</f>
        <v>0</v>
      </c>
      <c r="C88" s="14"/>
      <c r="D88" s="17" t="e" cm="1">
        <f t="array" ref="D88">_xlfn.IFS(AND(InvestorTable[[#This Row],[Investor Tally '#]] = 'Payment Tracker'!$A88, 'Payment Tracker'!$C88="Dividend") = TRUE, InvestorTable[[#This Row],[Monthly ROI (₦)]], AND(InvestorTable[[#This Row],[Investor Tally '#]] = 'Payment Tracker'!$A88, 'Payment Tracker'!$C88="Capital") = TRUE, InvestorTable[[#This Row],[Investment Capital (₦)]], AND(InvestorTable[[#This Row],[Investor Tally '#]] = 'Payment Tracker'!$A88, 'Payment Tracker'!$C88="Refund") = TRUE, InvestorTable[[#This Row],[Investment Capital (₦)]] )</f>
        <v>#N/A</v>
      </c>
      <c r="E88" s="15"/>
      <c r="F88" s="14"/>
      <c r="G88" s="14"/>
      <c r="H88" s="14"/>
    </row>
    <row r="89" spans="1:8" x14ac:dyDescent="0.3">
      <c r="A89" s="13"/>
      <c r="B89" s="16">
        <f>IF($A89=InvestorTable[[#This Row],[Investor Tally '#]],InvestorTable[[#This Row],[Investor Name]], NA())</f>
        <v>0</v>
      </c>
      <c r="C89" s="14"/>
      <c r="D89" s="17" t="e" cm="1">
        <f t="array" ref="D89">_xlfn.IFS(AND(InvestorTable[[#This Row],[Investor Tally '#]] = 'Payment Tracker'!$A89, 'Payment Tracker'!$C89="Dividend") = TRUE, InvestorTable[[#This Row],[Monthly ROI (₦)]], AND(InvestorTable[[#This Row],[Investor Tally '#]] = 'Payment Tracker'!$A89, 'Payment Tracker'!$C89="Capital") = TRUE, InvestorTable[[#This Row],[Investment Capital (₦)]], AND(InvestorTable[[#This Row],[Investor Tally '#]] = 'Payment Tracker'!$A89, 'Payment Tracker'!$C89="Refund") = TRUE, InvestorTable[[#This Row],[Investment Capital (₦)]] )</f>
        <v>#N/A</v>
      </c>
      <c r="E89" s="15"/>
      <c r="F89" s="14"/>
      <c r="G89" s="14"/>
      <c r="H89" s="14"/>
    </row>
    <row r="90" spans="1:8" x14ac:dyDescent="0.3">
      <c r="A90" s="13"/>
      <c r="B90" s="16">
        <f>IF($A90=InvestorTable[[#This Row],[Investor Tally '#]],InvestorTable[[#This Row],[Investor Name]], NA())</f>
        <v>0</v>
      </c>
      <c r="C90" s="14"/>
      <c r="D90" s="17" t="e" cm="1">
        <f t="array" ref="D90">_xlfn.IFS(AND(InvestorTable[[#This Row],[Investor Tally '#]] = 'Payment Tracker'!$A90, 'Payment Tracker'!$C90="Dividend") = TRUE, InvestorTable[[#This Row],[Monthly ROI (₦)]], AND(InvestorTable[[#This Row],[Investor Tally '#]] = 'Payment Tracker'!$A90, 'Payment Tracker'!$C90="Capital") = TRUE, InvestorTable[[#This Row],[Investment Capital (₦)]], AND(InvestorTable[[#This Row],[Investor Tally '#]] = 'Payment Tracker'!$A90, 'Payment Tracker'!$C90="Refund") = TRUE, InvestorTable[[#This Row],[Investment Capital (₦)]] )</f>
        <v>#N/A</v>
      </c>
      <c r="E90" s="15"/>
      <c r="F90" s="14"/>
      <c r="G90" s="14"/>
      <c r="H90" s="14"/>
    </row>
    <row r="91" spans="1:8" x14ac:dyDescent="0.3">
      <c r="A91" s="13"/>
      <c r="B91" s="16">
        <f>IF($A91=InvestorTable[[#This Row],[Investor Tally '#]],InvestorTable[[#This Row],[Investor Name]], NA())</f>
        <v>0</v>
      </c>
      <c r="C91" s="14"/>
      <c r="D91" s="17" t="e" cm="1">
        <f t="array" ref="D91">_xlfn.IFS(AND(InvestorTable[[#This Row],[Investor Tally '#]] = 'Payment Tracker'!$A91, 'Payment Tracker'!$C91="Dividend") = TRUE, InvestorTable[[#This Row],[Monthly ROI (₦)]], AND(InvestorTable[[#This Row],[Investor Tally '#]] = 'Payment Tracker'!$A91, 'Payment Tracker'!$C91="Capital") = TRUE, InvestorTable[[#This Row],[Investment Capital (₦)]], AND(InvestorTable[[#This Row],[Investor Tally '#]] = 'Payment Tracker'!$A91, 'Payment Tracker'!$C91="Refund") = TRUE, InvestorTable[[#This Row],[Investment Capital (₦)]] )</f>
        <v>#N/A</v>
      </c>
      <c r="E91" s="15"/>
      <c r="F91" s="14"/>
      <c r="G91" s="14"/>
      <c r="H91" s="14"/>
    </row>
    <row r="92" spans="1:8" x14ac:dyDescent="0.3">
      <c r="A92" s="13"/>
      <c r="B92" s="16">
        <f>IF($A92=InvestorTable[[#This Row],[Investor Tally '#]],InvestorTable[[#This Row],[Investor Name]], NA())</f>
        <v>0</v>
      </c>
      <c r="C92" s="14"/>
      <c r="D92" s="17" t="e" cm="1">
        <f t="array" ref="D92">_xlfn.IFS(AND(InvestorTable[[#This Row],[Investor Tally '#]] = 'Payment Tracker'!$A92, 'Payment Tracker'!$C92="Dividend") = TRUE, InvestorTable[[#This Row],[Monthly ROI (₦)]], AND(InvestorTable[[#This Row],[Investor Tally '#]] = 'Payment Tracker'!$A92, 'Payment Tracker'!$C92="Capital") = TRUE, InvestorTable[[#This Row],[Investment Capital (₦)]], AND(InvestorTable[[#This Row],[Investor Tally '#]] = 'Payment Tracker'!$A92, 'Payment Tracker'!$C92="Refund") = TRUE, InvestorTable[[#This Row],[Investment Capital (₦)]] )</f>
        <v>#N/A</v>
      </c>
      <c r="E92" s="15"/>
      <c r="F92" s="14"/>
      <c r="G92" s="14"/>
      <c r="H92" s="14"/>
    </row>
    <row r="93" spans="1:8" x14ac:dyDescent="0.3">
      <c r="A93" s="13"/>
      <c r="B93" s="16">
        <f>IF($A93=InvestorTable[[#This Row],[Investor Tally '#]],InvestorTable[[#This Row],[Investor Name]], NA())</f>
        <v>0</v>
      </c>
      <c r="C93" s="14"/>
      <c r="D93" s="17" t="e" cm="1">
        <f t="array" ref="D93">_xlfn.IFS(AND(InvestorTable[[#This Row],[Investor Tally '#]] = 'Payment Tracker'!$A93, 'Payment Tracker'!$C93="Dividend") = TRUE, InvestorTable[[#This Row],[Monthly ROI (₦)]], AND(InvestorTable[[#This Row],[Investor Tally '#]] = 'Payment Tracker'!$A93, 'Payment Tracker'!$C93="Capital") = TRUE, InvestorTable[[#This Row],[Investment Capital (₦)]], AND(InvestorTable[[#This Row],[Investor Tally '#]] = 'Payment Tracker'!$A93, 'Payment Tracker'!$C93="Refund") = TRUE, InvestorTable[[#This Row],[Investment Capital (₦)]] )</f>
        <v>#N/A</v>
      </c>
      <c r="E93" s="15"/>
      <c r="F93" s="14"/>
      <c r="G93" s="14"/>
      <c r="H93" s="14"/>
    </row>
    <row r="94" spans="1:8" x14ac:dyDescent="0.3">
      <c r="A94" s="13"/>
      <c r="B94" s="16">
        <f>IF($A94=InvestorTable[[#This Row],[Investor Tally '#]],InvestorTable[[#This Row],[Investor Name]], NA())</f>
        <v>0</v>
      </c>
      <c r="C94" s="14"/>
      <c r="D94" s="17" t="e" cm="1">
        <f t="array" ref="D94">_xlfn.IFS(AND(InvestorTable[[#This Row],[Investor Tally '#]] = 'Payment Tracker'!$A94, 'Payment Tracker'!$C94="Dividend") = TRUE, InvestorTable[[#This Row],[Monthly ROI (₦)]], AND(InvestorTable[[#This Row],[Investor Tally '#]] = 'Payment Tracker'!$A94, 'Payment Tracker'!$C94="Capital") = TRUE, InvestorTable[[#This Row],[Investment Capital (₦)]], AND(InvestorTable[[#This Row],[Investor Tally '#]] = 'Payment Tracker'!$A94, 'Payment Tracker'!$C94="Refund") = TRUE, InvestorTable[[#This Row],[Investment Capital (₦)]] )</f>
        <v>#N/A</v>
      </c>
      <c r="E94" s="15"/>
      <c r="F94" s="14"/>
      <c r="G94" s="14"/>
      <c r="H94" s="14"/>
    </row>
    <row r="95" spans="1:8" x14ac:dyDescent="0.3">
      <c r="A95" s="13"/>
      <c r="B95" s="16">
        <f>IF($A95=InvestorTable[[#This Row],[Investor Tally '#]],InvestorTable[[#This Row],[Investor Name]], NA())</f>
        <v>0</v>
      </c>
      <c r="C95" s="14"/>
      <c r="D95" s="17" t="e" cm="1">
        <f t="array" ref="D95">_xlfn.IFS(AND(InvestorTable[[#This Row],[Investor Tally '#]] = 'Payment Tracker'!$A95, 'Payment Tracker'!$C95="Dividend") = TRUE, InvestorTable[[#This Row],[Monthly ROI (₦)]], AND(InvestorTable[[#This Row],[Investor Tally '#]] = 'Payment Tracker'!$A95, 'Payment Tracker'!$C95="Capital") = TRUE, InvestorTable[[#This Row],[Investment Capital (₦)]], AND(InvestorTable[[#This Row],[Investor Tally '#]] = 'Payment Tracker'!$A95, 'Payment Tracker'!$C95="Refund") = TRUE, InvestorTable[[#This Row],[Investment Capital (₦)]] )</f>
        <v>#N/A</v>
      </c>
      <c r="E95" s="15"/>
      <c r="F95" s="14"/>
      <c r="G95" s="14"/>
      <c r="H95" s="14"/>
    </row>
    <row r="96" spans="1:8" x14ac:dyDescent="0.3">
      <c r="A96" s="13"/>
      <c r="B96" s="16">
        <f>IF($A96=InvestorTable[[#This Row],[Investor Tally '#]],InvestorTable[[#This Row],[Investor Name]], NA())</f>
        <v>0</v>
      </c>
      <c r="C96" s="14"/>
      <c r="D96" s="17" t="e" cm="1">
        <f t="array" ref="D96">_xlfn.IFS(AND(InvestorTable[[#This Row],[Investor Tally '#]] = 'Payment Tracker'!$A96, 'Payment Tracker'!$C96="Dividend") = TRUE, InvestorTable[[#This Row],[Monthly ROI (₦)]], AND(InvestorTable[[#This Row],[Investor Tally '#]] = 'Payment Tracker'!$A96, 'Payment Tracker'!$C96="Capital") = TRUE, InvestorTable[[#This Row],[Investment Capital (₦)]], AND(InvestorTable[[#This Row],[Investor Tally '#]] = 'Payment Tracker'!$A96, 'Payment Tracker'!$C96="Refund") = TRUE, InvestorTable[[#This Row],[Investment Capital (₦)]] )</f>
        <v>#N/A</v>
      </c>
      <c r="E96" s="15"/>
      <c r="F96" s="14"/>
      <c r="G96" s="14"/>
      <c r="H96" s="14"/>
    </row>
    <row r="97" spans="1:8" x14ac:dyDescent="0.3">
      <c r="A97" s="13"/>
      <c r="B97" s="16">
        <f>IF($A97=InvestorTable[[#This Row],[Investor Tally '#]],InvestorTable[[#This Row],[Investor Name]], NA())</f>
        <v>0</v>
      </c>
      <c r="C97" s="14"/>
      <c r="D97" s="17" t="e" cm="1">
        <f t="array" ref="D97">_xlfn.IFS(AND(InvestorTable[[#This Row],[Investor Tally '#]] = 'Payment Tracker'!$A97, 'Payment Tracker'!$C97="Dividend") = TRUE, InvestorTable[[#This Row],[Monthly ROI (₦)]], AND(InvestorTable[[#This Row],[Investor Tally '#]] = 'Payment Tracker'!$A97, 'Payment Tracker'!$C97="Capital") = TRUE, InvestorTable[[#This Row],[Investment Capital (₦)]], AND(InvestorTable[[#This Row],[Investor Tally '#]] = 'Payment Tracker'!$A97, 'Payment Tracker'!$C97="Refund") = TRUE, InvestorTable[[#This Row],[Investment Capital (₦)]] )</f>
        <v>#N/A</v>
      </c>
      <c r="E97" s="15"/>
      <c r="F97" s="14"/>
      <c r="G97" s="14"/>
      <c r="H97" s="14"/>
    </row>
    <row r="98" spans="1:8" x14ac:dyDescent="0.3">
      <c r="A98" s="13"/>
      <c r="B98" s="16">
        <f>IF($A98=InvestorTable[[#This Row],[Investor Tally '#]],InvestorTable[[#This Row],[Investor Name]], NA())</f>
        <v>0</v>
      </c>
      <c r="C98" s="14"/>
      <c r="D98" s="17" t="e" cm="1">
        <f t="array" ref="D98">_xlfn.IFS(AND(InvestorTable[[#This Row],[Investor Tally '#]] = 'Payment Tracker'!$A98, 'Payment Tracker'!$C98="Dividend") = TRUE, InvestorTable[[#This Row],[Monthly ROI (₦)]], AND(InvestorTable[[#This Row],[Investor Tally '#]] = 'Payment Tracker'!$A98, 'Payment Tracker'!$C98="Capital") = TRUE, InvestorTable[[#This Row],[Investment Capital (₦)]], AND(InvestorTable[[#This Row],[Investor Tally '#]] = 'Payment Tracker'!$A98, 'Payment Tracker'!$C98="Refund") = TRUE, InvestorTable[[#This Row],[Investment Capital (₦)]] )</f>
        <v>#N/A</v>
      </c>
      <c r="E98" s="15"/>
      <c r="F98" s="14"/>
      <c r="G98" s="14"/>
      <c r="H98" s="14"/>
    </row>
    <row r="99" spans="1:8" x14ac:dyDescent="0.3">
      <c r="A99" s="13"/>
      <c r="B99" s="16">
        <f>IF($A99=InvestorTable[[#This Row],[Investor Tally '#]],InvestorTable[[#This Row],[Investor Name]], NA())</f>
        <v>0</v>
      </c>
      <c r="C99" s="14"/>
      <c r="D99" s="17" t="e" cm="1">
        <f t="array" ref="D99">_xlfn.IFS(AND(InvestorTable[[#This Row],[Investor Tally '#]] = 'Payment Tracker'!$A99, 'Payment Tracker'!$C99="Dividend") = TRUE, InvestorTable[[#This Row],[Monthly ROI (₦)]], AND(InvestorTable[[#This Row],[Investor Tally '#]] = 'Payment Tracker'!$A99, 'Payment Tracker'!$C99="Capital") = TRUE, InvestorTable[[#This Row],[Investment Capital (₦)]], AND(InvestorTable[[#This Row],[Investor Tally '#]] = 'Payment Tracker'!$A99, 'Payment Tracker'!$C99="Refund") = TRUE, InvestorTable[[#This Row],[Investment Capital (₦)]] )</f>
        <v>#N/A</v>
      </c>
      <c r="E99" s="15"/>
      <c r="F99" s="14"/>
      <c r="G99" s="14"/>
      <c r="H99" s="14"/>
    </row>
    <row r="100" spans="1:8" x14ac:dyDescent="0.3">
      <c r="A100" s="13"/>
      <c r="B100" s="16">
        <f>IF($A100=InvestorTable[[#This Row],[Investor Tally '#]],InvestorTable[[#This Row],[Investor Name]], NA())</f>
        <v>0</v>
      </c>
      <c r="C100" s="14"/>
      <c r="D100" s="17" t="e" cm="1">
        <f t="array" ref="D100">_xlfn.IFS(AND(InvestorTable[[#This Row],[Investor Tally '#]] = 'Payment Tracker'!$A100, 'Payment Tracker'!$C100="Dividend") = TRUE, InvestorTable[[#This Row],[Monthly ROI (₦)]], AND(InvestorTable[[#This Row],[Investor Tally '#]] = 'Payment Tracker'!$A100, 'Payment Tracker'!$C100="Capital") = TRUE, InvestorTable[[#This Row],[Investment Capital (₦)]], AND(InvestorTable[[#This Row],[Investor Tally '#]] = 'Payment Tracker'!$A100, 'Payment Tracker'!$C100="Refund") = TRUE, InvestorTable[[#This Row],[Investment Capital (₦)]] )</f>
        <v>#N/A</v>
      </c>
      <c r="E100" s="15"/>
      <c r="F100" s="14"/>
      <c r="G100" s="14"/>
      <c r="H100" s="14"/>
    </row>
    <row r="101" spans="1:8" x14ac:dyDescent="0.3">
      <c r="A101" s="13"/>
      <c r="B101" s="16">
        <f>IF($A101=InvestorTable[[#This Row],[Investor Tally '#]],InvestorTable[[#This Row],[Investor Name]], NA())</f>
        <v>0</v>
      </c>
      <c r="C101" s="14"/>
      <c r="D101" s="17" t="e" cm="1">
        <f t="array" ref="D101">_xlfn.IFS(AND(InvestorTable[[#This Row],[Investor Tally '#]] = 'Payment Tracker'!$A101, 'Payment Tracker'!$C101="Dividend") = TRUE, InvestorTable[[#This Row],[Monthly ROI (₦)]], AND(InvestorTable[[#This Row],[Investor Tally '#]] = 'Payment Tracker'!$A101, 'Payment Tracker'!$C101="Capital") = TRUE, InvestorTable[[#This Row],[Investment Capital (₦)]], AND(InvestorTable[[#This Row],[Investor Tally '#]] = 'Payment Tracker'!$A101, 'Payment Tracker'!$C101="Refund") = TRUE, InvestorTable[[#This Row],[Investment Capital (₦)]] )</f>
        <v>#N/A</v>
      </c>
      <c r="E101" s="15"/>
      <c r="F101" s="14"/>
      <c r="G101" s="14"/>
      <c r="H101" s="14"/>
    </row>
    <row r="102" spans="1:8" x14ac:dyDescent="0.3">
      <c r="A102" s="13"/>
      <c r="B102" s="16">
        <f>IF($A102=InvestorTable[[#This Row],[Investor Tally '#]],InvestorTable[[#This Row],[Investor Name]], NA())</f>
        <v>0</v>
      </c>
      <c r="C102" s="14"/>
      <c r="D102" s="17" t="e" cm="1">
        <f t="array" ref="D102">_xlfn.IFS(AND(InvestorTable[[#This Row],[Investor Tally '#]] = 'Payment Tracker'!$A102, 'Payment Tracker'!$C102="Dividend") = TRUE, InvestorTable[[#This Row],[Monthly ROI (₦)]], AND(InvestorTable[[#This Row],[Investor Tally '#]] = 'Payment Tracker'!$A102, 'Payment Tracker'!$C102="Capital") = TRUE, InvestorTable[[#This Row],[Investment Capital (₦)]], AND(InvestorTable[[#This Row],[Investor Tally '#]] = 'Payment Tracker'!$A102, 'Payment Tracker'!$C102="Refund") = TRUE, InvestorTable[[#This Row],[Investment Capital (₦)]] )</f>
        <v>#N/A</v>
      </c>
      <c r="E102" s="15"/>
      <c r="F102" s="14"/>
      <c r="G102" s="14"/>
      <c r="H102" s="14"/>
    </row>
    <row r="103" spans="1:8" x14ac:dyDescent="0.3">
      <c r="A103" s="13"/>
      <c r="B103" s="16">
        <f>IF($A103=InvestorTable[[#This Row],[Investor Tally '#]],InvestorTable[[#This Row],[Investor Name]], NA())</f>
        <v>0</v>
      </c>
      <c r="C103" s="14"/>
      <c r="D103" s="17" t="e" cm="1">
        <f t="array" ref="D103">_xlfn.IFS(AND(InvestorTable[[#This Row],[Investor Tally '#]] = 'Payment Tracker'!$A103, 'Payment Tracker'!$C103="Dividend") = TRUE, InvestorTable[[#This Row],[Monthly ROI (₦)]], AND(InvestorTable[[#This Row],[Investor Tally '#]] = 'Payment Tracker'!$A103, 'Payment Tracker'!$C103="Capital") = TRUE, InvestorTable[[#This Row],[Investment Capital (₦)]], AND(InvestorTable[[#This Row],[Investor Tally '#]] = 'Payment Tracker'!$A103, 'Payment Tracker'!$C103="Refund") = TRUE, InvestorTable[[#This Row],[Investment Capital (₦)]] )</f>
        <v>#N/A</v>
      </c>
      <c r="E103" s="15"/>
      <c r="F103" s="14"/>
      <c r="G103" s="14"/>
      <c r="H103" s="14"/>
    </row>
    <row r="104" spans="1:8" x14ac:dyDescent="0.3">
      <c r="A104" s="13"/>
      <c r="B104" s="16">
        <f>IF($A104=InvestorTable[[#This Row],[Investor Tally '#]],InvestorTable[[#This Row],[Investor Name]], NA())</f>
        <v>0</v>
      </c>
      <c r="C104" s="14"/>
      <c r="D104" s="17" t="e" cm="1">
        <f t="array" ref="D104">_xlfn.IFS(AND(InvestorTable[[#This Row],[Investor Tally '#]] = 'Payment Tracker'!$A104, 'Payment Tracker'!$C104="Dividend") = TRUE, InvestorTable[[#This Row],[Monthly ROI (₦)]], AND(InvestorTable[[#This Row],[Investor Tally '#]] = 'Payment Tracker'!$A104, 'Payment Tracker'!$C104="Capital") = TRUE, InvestorTable[[#This Row],[Investment Capital (₦)]], AND(InvestorTable[[#This Row],[Investor Tally '#]] = 'Payment Tracker'!$A104, 'Payment Tracker'!$C104="Refund") = TRUE, InvestorTable[[#This Row],[Investment Capital (₦)]] )</f>
        <v>#N/A</v>
      </c>
      <c r="E104" s="15"/>
      <c r="F104" s="14"/>
      <c r="G104" s="14"/>
      <c r="H104" s="14"/>
    </row>
    <row r="105" spans="1:8" x14ac:dyDescent="0.3">
      <c r="A105" s="13"/>
      <c r="B105" s="16">
        <f>IF($A105=InvestorTable[[#This Row],[Investor Tally '#]],InvestorTable[[#This Row],[Investor Name]], NA())</f>
        <v>0</v>
      </c>
      <c r="C105" s="14"/>
      <c r="D105" s="17" t="e" cm="1">
        <f t="array" ref="D105">_xlfn.IFS(AND(InvestorTable[[#This Row],[Investor Tally '#]] = 'Payment Tracker'!$A105, 'Payment Tracker'!$C105="Dividend") = TRUE, InvestorTable[[#This Row],[Monthly ROI (₦)]], AND(InvestorTable[[#This Row],[Investor Tally '#]] = 'Payment Tracker'!$A105, 'Payment Tracker'!$C105="Capital") = TRUE, InvestorTable[[#This Row],[Investment Capital (₦)]], AND(InvestorTable[[#This Row],[Investor Tally '#]] = 'Payment Tracker'!$A105, 'Payment Tracker'!$C105="Refund") = TRUE, InvestorTable[[#This Row],[Investment Capital (₦)]] )</f>
        <v>#N/A</v>
      </c>
      <c r="E105" s="15"/>
      <c r="F105" s="14"/>
      <c r="G105" s="14"/>
      <c r="H105" s="14"/>
    </row>
    <row r="106" spans="1:8" x14ac:dyDescent="0.3">
      <c r="A106" s="13"/>
      <c r="B106" s="16">
        <f>IF($A106=InvestorTable[[#This Row],[Investor Tally '#]],InvestorTable[[#This Row],[Investor Name]], NA())</f>
        <v>0</v>
      </c>
      <c r="C106" s="14"/>
      <c r="D106" s="17" t="e" cm="1">
        <f t="array" ref="D106">_xlfn.IFS(AND(InvestorTable[[#This Row],[Investor Tally '#]] = 'Payment Tracker'!$A106, 'Payment Tracker'!$C106="Dividend") = TRUE, InvestorTable[[#This Row],[Monthly ROI (₦)]], AND(InvestorTable[[#This Row],[Investor Tally '#]] = 'Payment Tracker'!$A106, 'Payment Tracker'!$C106="Capital") = TRUE, InvestorTable[[#This Row],[Investment Capital (₦)]], AND(InvestorTable[[#This Row],[Investor Tally '#]] = 'Payment Tracker'!$A106, 'Payment Tracker'!$C106="Refund") = TRUE, InvestorTable[[#This Row],[Investment Capital (₦)]] )</f>
        <v>#N/A</v>
      </c>
      <c r="E106" s="15"/>
      <c r="F106" s="14"/>
      <c r="G106" s="14"/>
      <c r="H106" s="14"/>
    </row>
    <row r="107" spans="1:8" x14ac:dyDescent="0.3">
      <c r="A107" s="13"/>
      <c r="B107" s="16">
        <f>IF($A107=InvestorTable[[#This Row],[Investor Tally '#]],InvestorTable[[#This Row],[Investor Name]], NA())</f>
        <v>0</v>
      </c>
      <c r="C107" s="14"/>
      <c r="D107" s="17" t="e" cm="1">
        <f t="array" ref="D107">_xlfn.IFS(AND(InvestorTable[[#This Row],[Investor Tally '#]] = 'Payment Tracker'!$A107, 'Payment Tracker'!$C107="Dividend") = TRUE, InvestorTable[[#This Row],[Monthly ROI (₦)]], AND(InvestorTable[[#This Row],[Investor Tally '#]] = 'Payment Tracker'!$A107, 'Payment Tracker'!$C107="Capital") = TRUE, InvestorTable[[#This Row],[Investment Capital (₦)]], AND(InvestorTable[[#This Row],[Investor Tally '#]] = 'Payment Tracker'!$A107, 'Payment Tracker'!$C107="Refund") = TRUE, InvestorTable[[#This Row],[Investment Capital (₦)]] )</f>
        <v>#N/A</v>
      </c>
      <c r="E107" s="15"/>
      <c r="F107" s="14"/>
      <c r="G107" s="14"/>
      <c r="H107" s="14"/>
    </row>
    <row r="108" spans="1:8" x14ac:dyDescent="0.3">
      <c r="A108" s="13"/>
      <c r="B108" s="16">
        <f>IF($A108=InvestorTable[[#This Row],[Investor Tally '#]],InvestorTable[[#This Row],[Investor Name]], NA())</f>
        <v>0</v>
      </c>
      <c r="C108" s="14"/>
      <c r="D108" s="17" t="e" cm="1">
        <f t="array" ref="D108">_xlfn.IFS(AND(InvestorTable[[#This Row],[Investor Tally '#]] = 'Payment Tracker'!$A108, 'Payment Tracker'!$C108="Dividend") = TRUE, InvestorTable[[#This Row],[Monthly ROI (₦)]], AND(InvestorTable[[#This Row],[Investor Tally '#]] = 'Payment Tracker'!$A108, 'Payment Tracker'!$C108="Capital") = TRUE, InvestorTable[[#This Row],[Investment Capital (₦)]], AND(InvestorTable[[#This Row],[Investor Tally '#]] = 'Payment Tracker'!$A108, 'Payment Tracker'!$C108="Refund") = TRUE, InvestorTable[[#This Row],[Investment Capital (₦)]] )</f>
        <v>#N/A</v>
      </c>
      <c r="E108" s="15"/>
      <c r="F108" s="14"/>
      <c r="G108" s="14"/>
      <c r="H108" s="14"/>
    </row>
    <row r="109" spans="1:8" x14ac:dyDescent="0.3">
      <c r="A109" s="13"/>
      <c r="B109" s="16">
        <f>IF($A109=InvestorTable[[#This Row],[Investor Tally '#]],InvestorTable[[#This Row],[Investor Name]], NA())</f>
        <v>0</v>
      </c>
      <c r="C109" s="14"/>
      <c r="D109" s="17" t="e" cm="1">
        <f t="array" ref="D109">_xlfn.IFS(AND(InvestorTable[[#This Row],[Investor Tally '#]] = 'Payment Tracker'!$A109, 'Payment Tracker'!$C109="Dividend") = TRUE, InvestorTable[[#This Row],[Monthly ROI (₦)]], AND(InvestorTable[[#This Row],[Investor Tally '#]] = 'Payment Tracker'!$A109, 'Payment Tracker'!$C109="Capital") = TRUE, InvestorTable[[#This Row],[Investment Capital (₦)]], AND(InvestorTable[[#This Row],[Investor Tally '#]] = 'Payment Tracker'!$A109, 'Payment Tracker'!$C109="Refund") = TRUE, InvestorTable[[#This Row],[Investment Capital (₦)]] )</f>
        <v>#N/A</v>
      </c>
      <c r="E109" s="15"/>
      <c r="F109" s="14"/>
      <c r="G109" s="14"/>
      <c r="H109" s="14"/>
    </row>
    <row r="110" spans="1:8" x14ac:dyDescent="0.3">
      <c r="A110" s="13"/>
      <c r="B110" s="16">
        <f>IF($A110=InvestorTable[[#This Row],[Investor Tally '#]],InvestorTable[[#This Row],[Investor Name]], NA())</f>
        <v>0</v>
      </c>
      <c r="C110" s="14"/>
      <c r="D110" s="17" t="e" cm="1">
        <f t="array" ref="D110">_xlfn.IFS(AND(InvestorTable[[#This Row],[Investor Tally '#]] = 'Payment Tracker'!$A110, 'Payment Tracker'!$C110="Dividend") = TRUE, InvestorTable[[#This Row],[Monthly ROI (₦)]], AND(InvestorTable[[#This Row],[Investor Tally '#]] = 'Payment Tracker'!$A110, 'Payment Tracker'!$C110="Capital") = TRUE, InvestorTable[[#This Row],[Investment Capital (₦)]], AND(InvestorTable[[#This Row],[Investor Tally '#]] = 'Payment Tracker'!$A110, 'Payment Tracker'!$C110="Refund") = TRUE, InvestorTable[[#This Row],[Investment Capital (₦)]] )</f>
        <v>#N/A</v>
      </c>
      <c r="E110" s="15"/>
      <c r="F110" s="14"/>
      <c r="G110" s="14"/>
      <c r="H110" s="14"/>
    </row>
    <row r="111" spans="1:8" x14ac:dyDescent="0.3">
      <c r="A111" s="13"/>
      <c r="B111" s="16">
        <f>IF($A111=InvestorTable[[#This Row],[Investor Tally '#]],InvestorTable[[#This Row],[Investor Name]], NA())</f>
        <v>0</v>
      </c>
      <c r="C111" s="14"/>
      <c r="D111" s="17" t="e" cm="1">
        <f t="array" ref="D111">_xlfn.IFS(AND(InvestorTable[[#This Row],[Investor Tally '#]] = 'Payment Tracker'!$A111, 'Payment Tracker'!$C111="Dividend") = TRUE, InvestorTable[[#This Row],[Monthly ROI (₦)]], AND(InvestorTable[[#This Row],[Investor Tally '#]] = 'Payment Tracker'!$A111, 'Payment Tracker'!$C111="Capital") = TRUE, InvestorTable[[#This Row],[Investment Capital (₦)]], AND(InvestorTable[[#This Row],[Investor Tally '#]] = 'Payment Tracker'!$A111, 'Payment Tracker'!$C111="Refund") = TRUE, InvestorTable[[#This Row],[Investment Capital (₦)]] )</f>
        <v>#N/A</v>
      </c>
      <c r="E111" s="15"/>
      <c r="F111" s="14"/>
      <c r="G111" s="14"/>
      <c r="H111" s="14"/>
    </row>
    <row r="112" spans="1:8" x14ac:dyDescent="0.3">
      <c r="A112" s="13"/>
      <c r="B112" s="16">
        <f>IF($A112=InvestorTable[[#This Row],[Investor Tally '#]],InvestorTable[[#This Row],[Investor Name]], NA())</f>
        <v>0</v>
      </c>
      <c r="C112" s="14"/>
      <c r="D112" s="17" t="e" cm="1">
        <f t="array" ref="D112">_xlfn.IFS(AND(InvestorTable[[#This Row],[Investor Tally '#]] = 'Payment Tracker'!$A112, 'Payment Tracker'!$C112="Dividend") = TRUE, InvestorTable[[#This Row],[Monthly ROI (₦)]], AND(InvestorTable[[#This Row],[Investor Tally '#]] = 'Payment Tracker'!$A112, 'Payment Tracker'!$C112="Capital") = TRUE, InvestorTable[[#This Row],[Investment Capital (₦)]], AND(InvestorTable[[#This Row],[Investor Tally '#]] = 'Payment Tracker'!$A112, 'Payment Tracker'!$C112="Refund") = TRUE, InvestorTable[[#This Row],[Investment Capital (₦)]] )</f>
        <v>#N/A</v>
      </c>
      <c r="E112" s="15"/>
      <c r="F112" s="14"/>
      <c r="G112" s="14"/>
      <c r="H112" s="14"/>
    </row>
    <row r="113" spans="1:8" x14ac:dyDescent="0.3">
      <c r="A113" s="13"/>
      <c r="B113" s="16">
        <f>IF($A113=InvestorTable[[#This Row],[Investor Tally '#]],InvestorTable[[#This Row],[Investor Name]], NA())</f>
        <v>0</v>
      </c>
      <c r="C113" s="14"/>
      <c r="D113" s="17" t="e" cm="1">
        <f t="array" ref="D113">_xlfn.IFS(AND(InvestorTable[[#This Row],[Investor Tally '#]] = 'Payment Tracker'!$A113, 'Payment Tracker'!$C113="Dividend") = TRUE, InvestorTable[[#This Row],[Monthly ROI (₦)]], AND(InvestorTable[[#This Row],[Investor Tally '#]] = 'Payment Tracker'!$A113, 'Payment Tracker'!$C113="Capital") = TRUE, InvestorTable[[#This Row],[Investment Capital (₦)]], AND(InvestorTable[[#This Row],[Investor Tally '#]] = 'Payment Tracker'!$A113, 'Payment Tracker'!$C113="Refund") = TRUE, InvestorTable[[#This Row],[Investment Capital (₦)]] )</f>
        <v>#N/A</v>
      </c>
      <c r="E113" s="15"/>
      <c r="F113" s="14"/>
      <c r="G113" s="14"/>
      <c r="H113" s="14"/>
    </row>
    <row r="114" spans="1:8" x14ac:dyDescent="0.3">
      <c r="A114" s="13"/>
      <c r="B114" s="16">
        <f>IF($A114=InvestorTable[[#This Row],[Investor Tally '#]],InvestorTable[[#This Row],[Investor Name]], NA())</f>
        <v>0</v>
      </c>
      <c r="C114" s="14"/>
      <c r="D114" s="17" t="e" cm="1">
        <f t="array" ref="D114">_xlfn.IFS(AND(InvestorTable[[#This Row],[Investor Tally '#]] = 'Payment Tracker'!$A114, 'Payment Tracker'!$C114="Dividend") = TRUE, InvestorTable[[#This Row],[Monthly ROI (₦)]], AND(InvestorTable[[#This Row],[Investor Tally '#]] = 'Payment Tracker'!$A114, 'Payment Tracker'!$C114="Capital") = TRUE, InvestorTable[[#This Row],[Investment Capital (₦)]], AND(InvestorTable[[#This Row],[Investor Tally '#]] = 'Payment Tracker'!$A114, 'Payment Tracker'!$C114="Refund") = TRUE, InvestorTable[[#This Row],[Investment Capital (₦)]] )</f>
        <v>#N/A</v>
      </c>
      <c r="E114" s="15"/>
      <c r="F114" s="14"/>
      <c r="G114" s="14"/>
      <c r="H114" s="14"/>
    </row>
    <row r="115" spans="1:8" x14ac:dyDescent="0.3">
      <c r="A115" s="13"/>
      <c r="B115" s="16">
        <f>IF($A115=InvestorTable[[#This Row],[Investor Tally '#]],InvestorTable[[#This Row],[Investor Name]], NA())</f>
        <v>0</v>
      </c>
      <c r="C115" s="14"/>
      <c r="D115" s="17" t="e" cm="1">
        <f t="array" ref="D115">_xlfn.IFS(AND(InvestorTable[[#This Row],[Investor Tally '#]] = 'Payment Tracker'!$A115, 'Payment Tracker'!$C115="Dividend") = TRUE, InvestorTable[[#This Row],[Monthly ROI (₦)]], AND(InvestorTable[[#This Row],[Investor Tally '#]] = 'Payment Tracker'!$A115, 'Payment Tracker'!$C115="Capital") = TRUE, InvestorTable[[#This Row],[Investment Capital (₦)]], AND(InvestorTable[[#This Row],[Investor Tally '#]] = 'Payment Tracker'!$A115, 'Payment Tracker'!$C115="Refund") = TRUE, InvestorTable[[#This Row],[Investment Capital (₦)]] )</f>
        <v>#N/A</v>
      </c>
      <c r="E115" s="15"/>
      <c r="F115" s="14"/>
      <c r="G115" s="14"/>
      <c r="H115" s="14"/>
    </row>
    <row r="116" spans="1:8" x14ac:dyDescent="0.3">
      <c r="A116" s="13"/>
      <c r="B116" s="16">
        <f>IF($A116=InvestorTable[[#This Row],[Investor Tally '#]],InvestorTable[[#This Row],[Investor Name]], NA())</f>
        <v>0</v>
      </c>
      <c r="C116" s="14"/>
      <c r="D116" s="17" t="e" cm="1">
        <f t="array" ref="D116">_xlfn.IFS(AND(InvestorTable[[#This Row],[Investor Tally '#]] = 'Payment Tracker'!$A116, 'Payment Tracker'!$C116="Dividend") = TRUE, InvestorTable[[#This Row],[Monthly ROI (₦)]], AND(InvestorTable[[#This Row],[Investor Tally '#]] = 'Payment Tracker'!$A116, 'Payment Tracker'!$C116="Capital") = TRUE, InvestorTable[[#This Row],[Investment Capital (₦)]], AND(InvestorTable[[#This Row],[Investor Tally '#]] = 'Payment Tracker'!$A116, 'Payment Tracker'!$C116="Refund") = TRUE, InvestorTable[[#This Row],[Investment Capital (₦)]] )</f>
        <v>#N/A</v>
      </c>
      <c r="E116" s="15"/>
      <c r="F116" s="14"/>
      <c r="G116" s="14"/>
      <c r="H116" s="14"/>
    </row>
    <row r="117" spans="1:8" x14ac:dyDescent="0.3">
      <c r="A117" s="13"/>
      <c r="B117" s="16">
        <f>IF($A117=InvestorTable[[#This Row],[Investor Tally '#]],InvestorTable[[#This Row],[Investor Name]], NA())</f>
        <v>0</v>
      </c>
      <c r="C117" s="14"/>
      <c r="D117" s="17" t="e" cm="1">
        <f t="array" ref="D117">_xlfn.IFS(AND(InvestorTable[[#This Row],[Investor Tally '#]] = 'Payment Tracker'!$A117, 'Payment Tracker'!$C117="Dividend") = TRUE, InvestorTable[[#This Row],[Monthly ROI (₦)]], AND(InvestorTable[[#This Row],[Investor Tally '#]] = 'Payment Tracker'!$A117, 'Payment Tracker'!$C117="Capital") = TRUE, InvestorTable[[#This Row],[Investment Capital (₦)]], AND(InvestorTable[[#This Row],[Investor Tally '#]] = 'Payment Tracker'!$A117, 'Payment Tracker'!$C117="Refund") = TRUE, InvestorTable[[#This Row],[Investment Capital (₦)]] )</f>
        <v>#N/A</v>
      </c>
      <c r="E117" s="15"/>
      <c r="F117" s="14"/>
      <c r="G117" s="14"/>
      <c r="H117" s="14"/>
    </row>
    <row r="118" spans="1:8" x14ac:dyDescent="0.3">
      <c r="A118" s="13"/>
      <c r="B118" s="16">
        <f>IF($A118=InvestorTable[[#This Row],[Investor Tally '#]],InvestorTable[[#This Row],[Investor Name]], NA())</f>
        <v>0</v>
      </c>
      <c r="C118" s="14"/>
      <c r="D118" s="17" t="e" cm="1">
        <f t="array" ref="D118">_xlfn.IFS(AND(InvestorTable[[#This Row],[Investor Tally '#]] = 'Payment Tracker'!$A118, 'Payment Tracker'!$C118="Dividend") = TRUE, InvestorTable[[#This Row],[Monthly ROI (₦)]], AND(InvestorTable[[#This Row],[Investor Tally '#]] = 'Payment Tracker'!$A118, 'Payment Tracker'!$C118="Capital") = TRUE, InvestorTable[[#This Row],[Investment Capital (₦)]], AND(InvestorTable[[#This Row],[Investor Tally '#]] = 'Payment Tracker'!$A118, 'Payment Tracker'!$C118="Refund") = TRUE, InvestorTable[[#This Row],[Investment Capital (₦)]] )</f>
        <v>#N/A</v>
      </c>
      <c r="E118" s="15"/>
      <c r="F118" s="14"/>
      <c r="G118" s="14"/>
      <c r="H118" s="14"/>
    </row>
    <row r="119" spans="1:8" x14ac:dyDescent="0.3">
      <c r="A119" s="13"/>
      <c r="B119" s="16">
        <f>IF($A119=InvestorTable[[#This Row],[Investor Tally '#]],InvestorTable[[#This Row],[Investor Name]], NA())</f>
        <v>0</v>
      </c>
      <c r="C119" s="14"/>
      <c r="D119" s="17" t="e" cm="1">
        <f t="array" ref="D119">_xlfn.IFS(AND(InvestorTable[[#This Row],[Investor Tally '#]] = 'Payment Tracker'!$A119, 'Payment Tracker'!$C119="Dividend") = TRUE, InvestorTable[[#This Row],[Monthly ROI (₦)]], AND(InvestorTable[[#This Row],[Investor Tally '#]] = 'Payment Tracker'!$A119, 'Payment Tracker'!$C119="Capital") = TRUE, InvestorTable[[#This Row],[Investment Capital (₦)]], AND(InvestorTable[[#This Row],[Investor Tally '#]] = 'Payment Tracker'!$A119, 'Payment Tracker'!$C119="Refund") = TRUE, InvestorTable[[#This Row],[Investment Capital (₦)]] )</f>
        <v>#N/A</v>
      </c>
      <c r="E119" s="15"/>
      <c r="F119" s="14"/>
      <c r="G119" s="14"/>
      <c r="H119" s="14"/>
    </row>
    <row r="120" spans="1:8" x14ac:dyDescent="0.3">
      <c r="A120" s="13"/>
      <c r="B120" s="16">
        <f>IF($A120=InvestorTable[[#This Row],[Investor Tally '#]],InvestorTable[[#This Row],[Investor Name]], NA())</f>
        <v>0</v>
      </c>
      <c r="C120" s="14"/>
      <c r="D120" s="17" t="e" cm="1">
        <f t="array" ref="D120">_xlfn.IFS(AND(InvestorTable[[#This Row],[Investor Tally '#]] = 'Payment Tracker'!$A120, 'Payment Tracker'!$C120="Dividend") = TRUE, InvestorTable[[#This Row],[Monthly ROI (₦)]], AND(InvestorTable[[#This Row],[Investor Tally '#]] = 'Payment Tracker'!$A120, 'Payment Tracker'!$C120="Capital") = TRUE, InvestorTable[[#This Row],[Investment Capital (₦)]], AND(InvestorTable[[#This Row],[Investor Tally '#]] = 'Payment Tracker'!$A120, 'Payment Tracker'!$C120="Refund") = TRUE, InvestorTable[[#This Row],[Investment Capital (₦)]] )</f>
        <v>#N/A</v>
      </c>
      <c r="E120" s="15"/>
      <c r="F120" s="14"/>
      <c r="G120" s="14"/>
      <c r="H120" s="14"/>
    </row>
    <row r="121" spans="1:8" x14ac:dyDescent="0.3">
      <c r="A121" s="13"/>
      <c r="B121" s="16">
        <f>IF($A121=InvestorTable[[#This Row],[Investor Tally '#]],InvestorTable[[#This Row],[Investor Name]], NA())</f>
        <v>0</v>
      </c>
      <c r="C121" s="14"/>
      <c r="D121" s="17" t="e" cm="1">
        <f t="array" ref="D121">_xlfn.IFS(AND(InvestorTable[[#This Row],[Investor Tally '#]] = 'Payment Tracker'!$A121, 'Payment Tracker'!$C121="Dividend") = TRUE, InvestorTable[[#This Row],[Monthly ROI (₦)]], AND(InvestorTable[[#This Row],[Investor Tally '#]] = 'Payment Tracker'!$A121, 'Payment Tracker'!$C121="Capital") = TRUE, InvestorTable[[#This Row],[Investment Capital (₦)]], AND(InvestorTable[[#This Row],[Investor Tally '#]] = 'Payment Tracker'!$A121, 'Payment Tracker'!$C121="Refund") = TRUE, InvestorTable[[#This Row],[Investment Capital (₦)]] )</f>
        <v>#N/A</v>
      </c>
      <c r="E121" s="15"/>
      <c r="F121" s="14"/>
      <c r="G121" s="14"/>
      <c r="H121" s="14"/>
    </row>
    <row r="122" spans="1:8" x14ac:dyDescent="0.3">
      <c r="A122" s="13"/>
      <c r="B122" s="16">
        <f>IF($A122=InvestorTable[[#This Row],[Investor Tally '#]],InvestorTable[[#This Row],[Investor Name]], NA())</f>
        <v>0</v>
      </c>
      <c r="C122" s="14"/>
      <c r="D122" s="17" t="e" cm="1">
        <f t="array" ref="D122">_xlfn.IFS(AND(InvestorTable[[#This Row],[Investor Tally '#]] = 'Payment Tracker'!$A122, 'Payment Tracker'!$C122="Dividend") = TRUE, InvestorTable[[#This Row],[Monthly ROI (₦)]], AND(InvestorTable[[#This Row],[Investor Tally '#]] = 'Payment Tracker'!$A122, 'Payment Tracker'!$C122="Capital") = TRUE, InvestorTable[[#This Row],[Investment Capital (₦)]], AND(InvestorTable[[#This Row],[Investor Tally '#]] = 'Payment Tracker'!$A122, 'Payment Tracker'!$C122="Refund") = TRUE, InvestorTable[[#This Row],[Investment Capital (₦)]] )</f>
        <v>#N/A</v>
      </c>
      <c r="E122" s="15"/>
      <c r="F122" s="14"/>
      <c r="G122" s="14"/>
      <c r="H122" s="14"/>
    </row>
    <row r="123" spans="1:8" x14ac:dyDescent="0.3">
      <c r="A123" s="13"/>
      <c r="B123" s="16">
        <f>IF($A123=InvestorTable[[#This Row],[Investor Tally '#]],InvestorTable[[#This Row],[Investor Name]], NA())</f>
        <v>0</v>
      </c>
      <c r="C123" s="14"/>
      <c r="D123" s="17" t="e" cm="1">
        <f t="array" ref="D123">_xlfn.IFS(AND(InvestorTable[[#This Row],[Investor Tally '#]] = 'Payment Tracker'!$A123, 'Payment Tracker'!$C123="Dividend") = TRUE, InvestorTable[[#This Row],[Monthly ROI (₦)]], AND(InvestorTable[[#This Row],[Investor Tally '#]] = 'Payment Tracker'!$A123, 'Payment Tracker'!$C123="Capital") = TRUE, InvestorTable[[#This Row],[Investment Capital (₦)]], AND(InvestorTable[[#This Row],[Investor Tally '#]] = 'Payment Tracker'!$A123, 'Payment Tracker'!$C123="Refund") = TRUE, InvestorTable[[#This Row],[Investment Capital (₦)]] )</f>
        <v>#N/A</v>
      </c>
      <c r="E123" s="15"/>
      <c r="F123" s="14"/>
      <c r="G123" s="14"/>
      <c r="H123" s="14"/>
    </row>
    <row r="124" spans="1:8" x14ac:dyDescent="0.3">
      <c r="A124" s="13"/>
      <c r="B124" s="16">
        <f>IF($A124=InvestorTable[[#This Row],[Investor Tally '#]],InvestorTable[[#This Row],[Investor Name]], NA())</f>
        <v>0</v>
      </c>
      <c r="C124" s="14"/>
      <c r="D124" s="17" t="e" cm="1">
        <f t="array" ref="D124">_xlfn.IFS(AND(InvestorTable[[#This Row],[Investor Tally '#]] = 'Payment Tracker'!$A124, 'Payment Tracker'!$C124="Dividend") = TRUE, InvestorTable[[#This Row],[Monthly ROI (₦)]], AND(InvestorTable[[#This Row],[Investor Tally '#]] = 'Payment Tracker'!$A124, 'Payment Tracker'!$C124="Capital") = TRUE, InvestorTable[[#This Row],[Investment Capital (₦)]], AND(InvestorTable[[#This Row],[Investor Tally '#]] = 'Payment Tracker'!$A124, 'Payment Tracker'!$C124="Refund") = TRUE, InvestorTable[[#This Row],[Investment Capital (₦)]] )</f>
        <v>#N/A</v>
      </c>
      <c r="E124" s="15"/>
      <c r="F124" s="14"/>
      <c r="G124" s="14"/>
      <c r="H124" s="14"/>
    </row>
    <row r="125" spans="1:8" x14ac:dyDescent="0.3">
      <c r="A125" s="13"/>
      <c r="B125" s="16">
        <f>IF($A125=InvestorTable[[#This Row],[Investor Tally '#]],InvestorTable[[#This Row],[Investor Name]], NA())</f>
        <v>0</v>
      </c>
      <c r="C125" s="14"/>
      <c r="D125" s="17" t="e" cm="1">
        <f t="array" ref="D125">_xlfn.IFS(AND(InvestorTable[[#This Row],[Investor Tally '#]] = 'Payment Tracker'!$A125, 'Payment Tracker'!$C125="Dividend") = TRUE, InvestorTable[[#This Row],[Monthly ROI (₦)]], AND(InvestorTable[[#This Row],[Investor Tally '#]] = 'Payment Tracker'!$A125, 'Payment Tracker'!$C125="Capital") = TRUE, InvestorTable[[#This Row],[Investment Capital (₦)]], AND(InvestorTable[[#This Row],[Investor Tally '#]] = 'Payment Tracker'!$A125, 'Payment Tracker'!$C125="Refund") = TRUE, InvestorTable[[#This Row],[Investment Capital (₦)]] )</f>
        <v>#N/A</v>
      </c>
      <c r="E125" s="15"/>
      <c r="F125" s="14"/>
      <c r="G125" s="14"/>
      <c r="H125" s="14"/>
    </row>
    <row r="126" spans="1:8" x14ac:dyDescent="0.3">
      <c r="A126" s="13"/>
      <c r="B126" s="16">
        <f>IF($A126=InvestorTable[[#This Row],[Investor Tally '#]],InvestorTable[[#This Row],[Investor Name]], NA())</f>
        <v>0</v>
      </c>
      <c r="C126" s="14"/>
      <c r="D126" s="17" t="e" cm="1">
        <f t="array" ref="D126">_xlfn.IFS(AND(InvestorTable[[#This Row],[Investor Tally '#]] = 'Payment Tracker'!$A126, 'Payment Tracker'!$C126="Dividend") = TRUE, InvestorTable[[#This Row],[Monthly ROI (₦)]], AND(InvestorTable[[#This Row],[Investor Tally '#]] = 'Payment Tracker'!$A126, 'Payment Tracker'!$C126="Capital") = TRUE, InvestorTable[[#This Row],[Investment Capital (₦)]], AND(InvestorTable[[#This Row],[Investor Tally '#]] = 'Payment Tracker'!$A126, 'Payment Tracker'!$C126="Refund") = TRUE, InvestorTable[[#This Row],[Investment Capital (₦)]] )</f>
        <v>#N/A</v>
      </c>
      <c r="E126" s="15"/>
      <c r="F126" s="14"/>
      <c r="G126" s="14"/>
      <c r="H126" s="14"/>
    </row>
    <row r="127" spans="1:8" x14ac:dyDescent="0.3">
      <c r="A127" s="13"/>
      <c r="B127" s="16">
        <f>IF($A127=InvestorTable[[#This Row],[Investor Tally '#]],InvestorTable[[#This Row],[Investor Name]], NA())</f>
        <v>0</v>
      </c>
      <c r="C127" s="14"/>
      <c r="D127" s="17" t="e" cm="1">
        <f t="array" ref="D127">_xlfn.IFS(AND(InvestorTable[[#This Row],[Investor Tally '#]] = 'Payment Tracker'!$A127, 'Payment Tracker'!$C127="Dividend") = TRUE, InvestorTable[[#This Row],[Monthly ROI (₦)]], AND(InvestorTable[[#This Row],[Investor Tally '#]] = 'Payment Tracker'!$A127, 'Payment Tracker'!$C127="Capital") = TRUE, InvestorTable[[#This Row],[Investment Capital (₦)]], AND(InvestorTable[[#This Row],[Investor Tally '#]] = 'Payment Tracker'!$A127, 'Payment Tracker'!$C127="Refund") = TRUE, InvestorTable[[#This Row],[Investment Capital (₦)]] )</f>
        <v>#N/A</v>
      </c>
      <c r="E127" s="15"/>
      <c r="F127" s="14"/>
      <c r="G127" s="14"/>
      <c r="H127" s="14"/>
    </row>
    <row r="128" spans="1:8" x14ac:dyDescent="0.3">
      <c r="A128" s="13"/>
      <c r="B128" s="16">
        <f>IF($A128=InvestorTable[[#This Row],[Investor Tally '#]],InvestorTable[[#This Row],[Investor Name]], NA())</f>
        <v>0</v>
      </c>
      <c r="C128" s="14"/>
      <c r="D128" s="17" t="e" cm="1">
        <f t="array" ref="D128">_xlfn.IFS(AND(InvestorTable[[#This Row],[Investor Tally '#]] = 'Payment Tracker'!$A128, 'Payment Tracker'!$C128="Dividend") = TRUE, InvestorTable[[#This Row],[Monthly ROI (₦)]], AND(InvestorTable[[#This Row],[Investor Tally '#]] = 'Payment Tracker'!$A128, 'Payment Tracker'!$C128="Capital") = TRUE, InvestorTable[[#This Row],[Investment Capital (₦)]], AND(InvestorTable[[#This Row],[Investor Tally '#]] = 'Payment Tracker'!$A128, 'Payment Tracker'!$C128="Refund") = TRUE, InvestorTable[[#This Row],[Investment Capital (₦)]] )</f>
        <v>#N/A</v>
      </c>
      <c r="E128" s="15"/>
      <c r="F128" s="14"/>
      <c r="G128" s="14"/>
      <c r="H128" s="14"/>
    </row>
    <row r="129" spans="1:8" x14ac:dyDescent="0.3">
      <c r="A129" s="13"/>
      <c r="B129" s="16">
        <f>IF($A129=InvestorTable[[#This Row],[Investor Tally '#]],InvestorTable[[#This Row],[Investor Name]], NA())</f>
        <v>0</v>
      </c>
      <c r="C129" s="14"/>
      <c r="D129" s="17" t="e" cm="1">
        <f t="array" ref="D129">_xlfn.IFS(AND(InvestorTable[[#This Row],[Investor Tally '#]] = 'Payment Tracker'!$A129, 'Payment Tracker'!$C129="Dividend") = TRUE, InvestorTable[[#This Row],[Monthly ROI (₦)]], AND(InvestorTable[[#This Row],[Investor Tally '#]] = 'Payment Tracker'!$A129, 'Payment Tracker'!$C129="Capital") = TRUE, InvestorTable[[#This Row],[Investment Capital (₦)]], AND(InvestorTable[[#This Row],[Investor Tally '#]] = 'Payment Tracker'!$A129, 'Payment Tracker'!$C129="Refund") = TRUE, InvestorTable[[#This Row],[Investment Capital (₦)]] )</f>
        <v>#N/A</v>
      </c>
      <c r="E129" s="15"/>
      <c r="F129" s="14"/>
      <c r="G129" s="14"/>
      <c r="H129" s="14"/>
    </row>
    <row r="130" spans="1:8" x14ac:dyDescent="0.3">
      <c r="A130" s="13"/>
      <c r="B130" s="16">
        <f>IF($A130=InvestorTable[[#This Row],[Investor Tally '#]],InvestorTable[[#This Row],[Investor Name]], NA())</f>
        <v>0</v>
      </c>
      <c r="C130" s="14"/>
      <c r="D130" s="17" t="e" cm="1">
        <f t="array" ref="D130">_xlfn.IFS(AND(InvestorTable[[#This Row],[Investor Tally '#]] = 'Payment Tracker'!$A130, 'Payment Tracker'!$C130="Dividend") = TRUE, InvestorTable[[#This Row],[Monthly ROI (₦)]], AND(InvestorTable[[#This Row],[Investor Tally '#]] = 'Payment Tracker'!$A130, 'Payment Tracker'!$C130="Capital") = TRUE, InvestorTable[[#This Row],[Investment Capital (₦)]], AND(InvestorTable[[#This Row],[Investor Tally '#]] = 'Payment Tracker'!$A130, 'Payment Tracker'!$C130="Refund") = TRUE, InvestorTable[[#This Row],[Investment Capital (₦)]] )</f>
        <v>#N/A</v>
      </c>
      <c r="E130" s="15"/>
      <c r="F130" s="14"/>
      <c r="G130" s="14"/>
      <c r="H130" s="14"/>
    </row>
    <row r="131" spans="1:8" x14ac:dyDescent="0.3">
      <c r="A131" s="13"/>
      <c r="B131" s="16">
        <f>IF($A131=InvestorTable[[#This Row],[Investor Tally '#]],InvestorTable[[#This Row],[Investor Name]], NA())</f>
        <v>0</v>
      </c>
      <c r="C131" s="14"/>
      <c r="D131" s="17" t="e" cm="1">
        <f t="array" ref="D131">_xlfn.IFS(AND(InvestorTable[[#This Row],[Investor Tally '#]] = 'Payment Tracker'!$A131, 'Payment Tracker'!$C131="Dividend") = TRUE, InvestorTable[[#This Row],[Monthly ROI (₦)]], AND(InvestorTable[[#This Row],[Investor Tally '#]] = 'Payment Tracker'!$A131, 'Payment Tracker'!$C131="Capital") = TRUE, InvestorTable[[#This Row],[Investment Capital (₦)]], AND(InvestorTable[[#This Row],[Investor Tally '#]] = 'Payment Tracker'!$A131, 'Payment Tracker'!$C131="Refund") = TRUE, InvestorTable[[#This Row],[Investment Capital (₦)]] )</f>
        <v>#N/A</v>
      </c>
      <c r="E131" s="15"/>
      <c r="F131" s="14"/>
      <c r="G131" s="14"/>
      <c r="H131" s="14"/>
    </row>
    <row r="132" spans="1:8" x14ac:dyDescent="0.3">
      <c r="A132" s="13"/>
      <c r="B132" s="16">
        <f>IF($A132=InvestorTable[[#This Row],[Investor Tally '#]],InvestorTable[[#This Row],[Investor Name]], NA())</f>
        <v>0</v>
      </c>
      <c r="C132" s="14"/>
      <c r="D132" s="17" t="e" cm="1">
        <f t="array" ref="D132">_xlfn.IFS(AND(InvestorTable[[#This Row],[Investor Tally '#]] = 'Payment Tracker'!$A132, 'Payment Tracker'!$C132="Dividend") = TRUE, InvestorTable[[#This Row],[Monthly ROI (₦)]], AND(InvestorTable[[#This Row],[Investor Tally '#]] = 'Payment Tracker'!$A132, 'Payment Tracker'!$C132="Capital") = TRUE, InvestorTable[[#This Row],[Investment Capital (₦)]], AND(InvestorTable[[#This Row],[Investor Tally '#]] = 'Payment Tracker'!$A132, 'Payment Tracker'!$C132="Refund") = TRUE, InvestorTable[[#This Row],[Investment Capital (₦)]] )</f>
        <v>#N/A</v>
      </c>
      <c r="E132" s="15"/>
      <c r="F132" s="14"/>
      <c r="G132" s="14"/>
      <c r="H132" s="14"/>
    </row>
    <row r="133" spans="1:8" x14ac:dyDescent="0.3">
      <c r="A133" s="13"/>
      <c r="B133" s="16">
        <f>IF($A133=InvestorTable[[#This Row],[Investor Tally '#]],InvestorTable[[#This Row],[Investor Name]], NA())</f>
        <v>0</v>
      </c>
      <c r="C133" s="14"/>
      <c r="D133" s="17" t="e" cm="1">
        <f t="array" ref="D133">_xlfn.IFS(AND(InvestorTable[[#This Row],[Investor Tally '#]] = 'Payment Tracker'!$A133, 'Payment Tracker'!$C133="Dividend") = TRUE, InvestorTable[[#This Row],[Monthly ROI (₦)]], AND(InvestorTable[[#This Row],[Investor Tally '#]] = 'Payment Tracker'!$A133, 'Payment Tracker'!$C133="Capital") = TRUE, InvestorTable[[#This Row],[Investment Capital (₦)]], AND(InvestorTable[[#This Row],[Investor Tally '#]] = 'Payment Tracker'!$A133, 'Payment Tracker'!$C133="Refund") = TRUE, InvestorTable[[#This Row],[Investment Capital (₦)]] )</f>
        <v>#N/A</v>
      </c>
      <c r="E133" s="15"/>
      <c r="F133" s="14"/>
      <c r="G133" s="14"/>
      <c r="H133" s="14"/>
    </row>
    <row r="134" spans="1:8" x14ac:dyDescent="0.3">
      <c r="A134" s="13"/>
      <c r="B134" s="16">
        <f>IF($A134=InvestorTable[[#This Row],[Investor Tally '#]],InvestorTable[[#This Row],[Investor Name]], NA())</f>
        <v>0</v>
      </c>
      <c r="C134" s="14"/>
      <c r="D134" s="17" t="e" cm="1">
        <f t="array" ref="D134">_xlfn.IFS(AND(InvestorTable[[#This Row],[Investor Tally '#]] = 'Payment Tracker'!$A134, 'Payment Tracker'!$C134="Dividend") = TRUE, InvestorTable[[#This Row],[Monthly ROI (₦)]], AND(InvestorTable[[#This Row],[Investor Tally '#]] = 'Payment Tracker'!$A134, 'Payment Tracker'!$C134="Capital") = TRUE, InvestorTable[[#This Row],[Investment Capital (₦)]], AND(InvestorTable[[#This Row],[Investor Tally '#]] = 'Payment Tracker'!$A134, 'Payment Tracker'!$C134="Refund") = TRUE, InvestorTable[[#This Row],[Investment Capital (₦)]] )</f>
        <v>#N/A</v>
      </c>
      <c r="E134" s="15"/>
      <c r="F134" s="14"/>
      <c r="G134" s="14"/>
      <c r="H134" s="14"/>
    </row>
    <row r="135" spans="1:8" x14ac:dyDescent="0.3">
      <c r="A135" s="13"/>
      <c r="B135" s="16">
        <f>IF($A135=InvestorTable[[#This Row],[Investor Tally '#]],InvestorTable[[#This Row],[Investor Name]], NA())</f>
        <v>0</v>
      </c>
      <c r="C135" s="14"/>
      <c r="D135" s="17" t="e" cm="1">
        <f t="array" ref="D135">_xlfn.IFS(AND(InvestorTable[[#This Row],[Investor Tally '#]] = 'Payment Tracker'!$A135, 'Payment Tracker'!$C135="Dividend") = TRUE, InvestorTable[[#This Row],[Monthly ROI (₦)]], AND(InvestorTable[[#This Row],[Investor Tally '#]] = 'Payment Tracker'!$A135, 'Payment Tracker'!$C135="Capital") = TRUE, InvestorTable[[#This Row],[Investment Capital (₦)]], AND(InvestorTable[[#This Row],[Investor Tally '#]] = 'Payment Tracker'!$A135, 'Payment Tracker'!$C135="Refund") = TRUE, InvestorTable[[#This Row],[Investment Capital (₦)]] )</f>
        <v>#N/A</v>
      </c>
      <c r="E135" s="15"/>
      <c r="F135" s="14"/>
      <c r="G135" s="14"/>
      <c r="H135" s="14"/>
    </row>
    <row r="136" spans="1:8" x14ac:dyDescent="0.3">
      <c r="A136" s="13"/>
      <c r="B136" s="16">
        <f>IF($A136=InvestorTable[[#This Row],[Investor Tally '#]],InvestorTable[[#This Row],[Investor Name]], NA())</f>
        <v>0</v>
      </c>
      <c r="C136" s="14"/>
      <c r="D136" s="17" t="e" cm="1">
        <f t="array" ref="D136">_xlfn.IFS(AND(InvestorTable[[#This Row],[Investor Tally '#]] = 'Payment Tracker'!$A136, 'Payment Tracker'!$C136="Dividend") = TRUE, InvestorTable[[#This Row],[Monthly ROI (₦)]], AND(InvestorTable[[#This Row],[Investor Tally '#]] = 'Payment Tracker'!$A136, 'Payment Tracker'!$C136="Capital") = TRUE, InvestorTable[[#This Row],[Investment Capital (₦)]], AND(InvestorTable[[#This Row],[Investor Tally '#]] = 'Payment Tracker'!$A136, 'Payment Tracker'!$C136="Refund") = TRUE, InvestorTable[[#This Row],[Investment Capital (₦)]] )</f>
        <v>#N/A</v>
      </c>
      <c r="E136" s="15"/>
      <c r="F136" s="14"/>
      <c r="G136" s="14"/>
      <c r="H136" s="14"/>
    </row>
    <row r="137" spans="1:8" x14ac:dyDescent="0.3">
      <c r="A137" s="13"/>
      <c r="B137" s="16">
        <f>IF($A137=InvestorTable[[#This Row],[Investor Tally '#]],InvestorTable[[#This Row],[Investor Name]], NA())</f>
        <v>0</v>
      </c>
      <c r="C137" s="14"/>
      <c r="D137" s="17" t="e" cm="1">
        <f t="array" ref="D137">_xlfn.IFS(AND(InvestorTable[[#This Row],[Investor Tally '#]] = 'Payment Tracker'!$A137, 'Payment Tracker'!$C137="Dividend") = TRUE, InvestorTable[[#This Row],[Monthly ROI (₦)]], AND(InvestorTable[[#This Row],[Investor Tally '#]] = 'Payment Tracker'!$A137, 'Payment Tracker'!$C137="Capital") = TRUE, InvestorTable[[#This Row],[Investment Capital (₦)]], AND(InvestorTable[[#This Row],[Investor Tally '#]] = 'Payment Tracker'!$A137, 'Payment Tracker'!$C137="Refund") = TRUE, InvestorTable[[#This Row],[Investment Capital (₦)]] )</f>
        <v>#N/A</v>
      </c>
      <c r="E137" s="15"/>
      <c r="F137" s="14"/>
      <c r="G137" s="14"/>
      <c r="H137" s="14"/>
    </row>
    <row r="138" spans="1:8" x14ac:dyDescent="0.3">
      <c r="A138" s="13"/>
      <c r="B138" s="16">
        <f>IF($A138=InvestorTable[[#This Row],[Investor Tally '#]],InvestorTable[[#This Row],[Investor Name]], NA())</f>
        <v>0</v>
      </c>
      <c r="C138" s="14"/>
      <c r="D138" s="17" t="e" cm="1">
        <f t="array" ref="D138">_xlfn.IFS(AND(InvestorTable[[#This Row],[Investor Tally '#]] = 'Payment Tracker'!$A138, 'Payment Tracker'!$C138="Dividend") = TRUE, InvestorTable[[#This Row],[Monthly ROI (₦)]], AND(InvestorTable[[#This Row],[Investor Tally '#]] = 'Payment Tracker'!$A138, 'Payment Tracker'!$C138="Capital") = TRUE, InvestorTable[[#This Row],[Investment Capital (₦)]], AND(InvestorTable[[#This Row],[Investor Tally '#]] = 'Payment Tracker'!$A138, 'Payment Tracker'!$C138="Refund") = TRUE, InvestorTable[[#This Row],[Investment Capital (₦)]] )</f>
        <v>#N/A</v>
      </c>
      <c r="E138" s="15"/>
      <c r="F138" s="14"/>
      <c r="G138" s="14"/>
      <c r="H138" s="14"/>
    </row>
    <row r="139" spans="1:8" x14ac:dyDescent="0.3">
      <c r="A139" s="13"/>
      <c r="B139" s="16">
        <f>IF($A139=InvestorTable[[#This Row],[Investor Tally '#]],InvestorTable[[#This Row],[Investor Name]], NA())</f>
        <v>0</v>
      </c>
      <c r="C139" s="14"/>
      <c r="D139" s="17" t="e" cm="1">
        <f t="array" ref="D139">_xlfn.IFS(AND(InvestorTable[[#This Row],[Investor Tally '#]] = 'Payment Tracker'!$A139, 'Payment Tracker'!$C139="Dividend") = TRUE, InvestorTable[[#This Row],[Monthly ROI (₦)]], AND(InvestorTable[[#This Row],[Investor Tally '#]] = 'Payment Tracker'!$A139, 'Payment Tracker'!$C139="Capital") = TRUE, InvestorTable[[#This Row],[Investment Capital (₦)]], AND(InvestorTable[[#This Row],[Investor Tally '#]] = 'Payment Tracker'!$A139, 'Payment Tracker'!$C139="Refund") = TRUE, InvestorTable[[#This Row],[Investment Capital (₦)]] )</f>
        <v>#N/A</v>
      </c>
      <c r="E139" s="15"/>
      <c r="F139" s="14"/>
      <c r="G139" s="14"/>
      <c r="H139" s="14"/>
    </row>
    <row r="140" spans="1:8" x14ac:dyDescent="0.3">
      <c r="A140" s="13"/>
      <c r="B140" s="16">
        <f>IF($A140=InvestorTable[[#This Row],[Investor Tally '#]],InvestorTable[[#This Row],[Investor Name]], NA())</f>
        <v>0</v>
      </c>
      <c r="C140" s="14"/>
      <c r="D140" s="17" t="e" cm="1">
        <f t="array" ref="D140">_xlfn.IFS(AND(InvestorTable[[#This Row],[Investor Tally '#]] = 'Payment Tracker'!$A140, 'Payment Tracker'!$C140="Dividend") = TRUE, InvestorTable[[#This Row],[Monthly ROI (₦)]], AND(InvestorTable[[#This Row],[Investor Tally '#]] = 'Payment Tracker'!$A140, 'Payment Tracker'!$C140="Capital") = TRUE, InvestorTable[[#This Row],[Investment Capital (₦)]], AND(InvestorTable[[#This Row],[Investor Tally '#]] = 'Payment Tracker'!$A140, 'Payment Tracker'!$C140="Refund") = TRUE, InvestorTable[[#This Row],[Investment Capital (₦)]] )</f>
        <v>#N/A</v>
      </c>
      <c r="E140" s="15"/>
      <c r="F140" s="14"/>
      <c r="G140" s="14"/>
      <c r="H140" s="14"/>
    </row>
    <row r="141" spans="1:8" x14ac:dyDescent="0.3">
      <c r="A141" s="13"/>
      <c r="B141" s="16">
        <f>IF($A141=InvestorTable[[#This Row],[Investor Tally '#]],InvestorTable[[#This Row],[Investor Name]], NA())</f>
        <v>0</v>
      </c>
      <c r="C141" s="14"/>
      <c r="D141" s="17" t="e" cm="1">
        <f t="array" ref="D141">_xlfn.IFS(AND(InvestorTable[[#This Row],[Investor Tally '#]] = 'Payment Tracker'!$A141, 'Payment Tracker'!$C141="Dividend") = TRUE, InvestorTable[[#This Row],[Monthly ROI (₦)]], AND(InvestorTable[[#This Row],[Investor Tally '#]] = 'Payment Tracker'!$A141, 'Payment Tracker'!$C141="Capital") = TRUE, InvestorTable[[#This Row],[Investment Capital (₦)]], AND(InvestorTable[[#This Row],[Investor Tally '#]] = 'Payment Tracker'!$A141, 'Payment Tracker'!$C141="Refund") = TRUE, InvestorTable[[#This Row],[Investment Capital (₦)]] )</f>
        <v>#N/A</v>
      </c>
      <c r="E141" s="15"/>
      <c r="F141" s="14"/>
      <c r="G141" s="14"/>
      <c r="H141" s="14"/>
    </row>
    <row r="142" spans="1:8" x14ac:dyDescent="0.3">
      <c r="A142" s="13"/>
      <c r="B142" s="16">
        <f>IF($A142=InvestorTable[[#This Row],[Investor Tally '#]],InvestorTable[[#This Row],[Investor Name]], NA())</f>
        <v>0</v>
      </c>
      <c r="C142" s="14"/>
      <c r="D142" s="17" t="e" cm="1">
        <f t="array" ref="D142">_xlfn.IFS(AND(InvestorTable[[#This Row],[Investor Tally '#]] = 'Payment Tracker'!$A142, 'Payment Tracker'!$C142="Dividend") = TRUE, InvestorTable[[#This Row],[Monthly ROI (₦)]], AND(InvestorTable[[#This Row],[Investor Tally '#]] = 'Payment Tracker'!$A142, 'Payment Tracker'!$C142="Capital") = TRUE, InvestorTable[[#This Row],[Investment Capital (₦)]], AND(InvestorTable[[#This Row],[Investor Tally '#]] = 'Payment Tracker'!$A142, 'Payment Tracker'!$C142="Refund") = TRUE, InvestorTable[[#This Row],[Investment Capital (₦)]] )</f>
        <v>#N/A</v>
      </c>
      <c r="E142" s="15"/>
      <c r="F142" s="14"/>
      <c r="G142" s="14"/>
      <c r="H142" s="14"/>
    </row>
    <row r="143" spans="1:8" x14ac:dyDescent="0.3">
      <c r="A143" s="13"/>
      <c r="B143" s="16">
        <f>IF($A143=InvestorTable[[#This Row],[Investor Tally '#]],InvestorTable[[#This Row],[Investor Name]], NA())</f>
        <v>0</v>
      </c>
      <c r="C143" s="14"/>
      <c r="D143" s="17" t="e" cm="1">
        <f t="array" ref="D143">_xlfn.IFS(AND(InvestorTable[[#This Row],[Investor Tally '#]] = 'Payment Tracker'!$A143, 'Payment Tracker'!$C143="Dividend") = TRUE, InvestorTable[[#This Row],[Monthly ROI (₦)]], AND(InvestorTable[[#This Row],[Investor Tally '#]] = 'Payment Tracker'!$A143, 'Payment Tracker'!$C143="Capital") = TRUE, InvestorTable[[#This Row],[Investment Capital (₦)]], AND(InvestorTable[[#This Row],[Investor Tally '#]] = 'Payment Tracker'!$A143, 'Payment Tracker'!$C143="Refund") = TRUE, InvestorTable[[#This Row],[Investment Capital (₦)]] )</f>
        <v>#N/A</v>
      </c>
      <c r="E143" s="15"/>
      <c r="F143" s="14"/>
      <c r="G143" s="14"/>
      <c r="H143" s="14"/>
    </row>
    <row r="144" spans="1:8" x14ac:dyDescent="0.3">
      <c r="A144" s="13"/>
      <c r="B144" s="16">
        <f>IF($A144=InvestorTable[[#This Row],[Investor Tally '#]],InvestorTable[[#This Row],[Investor Name]], NA())</f>
        <v>0</v>
      </c>
      <c r="C144" s="14"/>
      <c r="D144" s="17" t="e" cm="1">
        <f t="array" ref="D144">_xlfn.IFS(AND(InvestorTable[[#This Row],[Investor Tally '#]] = 'Payment Tracker'!$A144, 'Payment Tracker'!$C144="Dividend") = TRUE, InvestorTable[[#This Row],[Monthly ROI (₦)]], AND(InvestorTable[[#This Row],[Investor Tally '#]] = 'Payment Tracker'!$A144, 'Payment Tracker'!$C144="Capital") = TRUE, InvestorTable[[#This Row],[Investment Capital (₦)]], AND(InvestorTable[[#This Row],[Investor Tally '#]] = 'Payment Tracker'!$A144, 'Payment Tracker'!$C144="Refund") = TRUE, InvestorTable[[#This Row],[Investment Capital (₦)]] )</f>
        <v>#N/A</v>
      </c>
      <c r="E144" s="15"/>
      <c r="F144" s="14"/>
      <c r="G144" s="14"/>
      <c r="H144" s="14"/>
    </row>
    <row r="145" spans="1:8" x14ac:dyDescent="0.3">
      <c r="A145" s="13"/>
      <c r="B145" s="16">
        <f>IF($A145=InvestorTable[[#This Row],[Investor Tally '#]],InvestorTable[[#This Row],[Investor Name]], NA())</f>
        <v>0</v>
      </c>
      <c r="C145" s="14"/>
      <c r="D145" s="17" t="e" cm="1">
        <f t="array" ref="D145">_xlfn.IFS(AND(InvestorTable[[#This Row],[Investor Tally '#]] = 'Payment Tracker'!$A145, 'Payment Tracker'!$C145="Dividend") = TRUE, InvestorTable[[#This Row],[Monthly ROI (₦)]], AND(InvestorTable[[#This Row],[Investor Tally '#]] = 'Payment Tracker'!$A145, 'Payment Tracker'!$C145="Capital") = TRUE, InvestorTable[[#This Row],[Investment Capital (₦)]], AND(InvestorTable[[#This Row],[Investor Tally '#]] = 'Payment Tracker'!$A145, 'Payment Tracker'!$C145="Refund") = TRUE, InvestorTable[[#This Row],[Investment Capital (₦)]] )</f>
        <v>#N/A</v>
      </c>
      <c r="E145" s="15"/>
      <c r="F145" s="14"/>
      <c r="G145" s="14"/>
      <c r="H145" s="14"/>
    </row>
    <row r="146" spans="1:8" x14ac:dyDescent="0.3">
      <c r="A146" s="13"/>
      <c r="B146" s="16">
        <f>IF($A146=InvestorTable[[#This Row],[Investor Tally '#]],InvestorTable[[#This Row],[Investor Name]], NA())</f>
        <v>0</v>
      </c>
      <c r="C146" s="14"/>
      <c r="D146" s="17" t="e" cm="1">
        <f t="array" ref="D146">_xlfn.IFS(AND(InvestorTable[[#This Row],[Investor Tally '#]] = 'Payment Tracker'!$A146, 'Payment Tracker'!$C146="Dividend") = TRUE, InvestorTable[[#This Row],[Monthly ROI (₦)]], AND(InvestorTable[[#This Row],[Investor Tally '#]] = 'Payment Tracker'!$A146, 'Payment Tracker'!$C146="Capital") = TRUE, InvestorTable[[#This Row],[Investment Capital (₦)]], AND(InvestorTable[[#This Row],[Investor Tally '#]] = 'Payment Tracker'!$A146, 'Payment Tracker'!$C146="Refund") = TRUE, InvestorTable[[#This Row],[Investment Capital (₦)]] )</f>
        <v>#N/A</v>
      </c>
      <c r="E146" s="15"/>
      <c r="F146" s="14"/>
      <c r="G146" s="14"/>
      <c r="H146" s="14"/>
    </row>
    <row r="147" spans="1:8" x14ac:dyDescent="0.3">
      <c r="A147" s="13"/>
      <c r="B147" s="16">
        <f>IF($A147=InvestorTable[[#This Row],[Investor Tally '#]],InvestorTable[[#This Row],[Investor Name]], NA())</f>
        <v>0</v>
      </c>
      <c r="C147" s="14"/>
      <c r="D147" s="17" t="e" cm="1">
        <f t="array" ref="D147">_xlfn.IFS(AND(InvestorTable[[#This Row],[Investor Tally '#]] = 'Payment Tracker'!$A147, 'Payment Tracker'!$C147="Dividend") = TRUE, InvestorTable[[#This Row],[Monthly ROI (₦)]], AND(InvestorTable[[#This Row],[Investor Tally '#]] = 'Payment Tracker'!$A147, 'Payment Tracker'!$C147="Capital") = TRUE, InvestorTable[[#This Row],[Investment Capital (₦)]], AND(InvestorTable[[#This Row],[Investor Tally '#]] = 'Payment Tracker'!$A147, 'Payment Tracker'!$C147="Refund") = TRUE, InvestorTable[[#This Row],[Investment Capital (₦)]] )</f>
        <v>#N/A</v>
      </c>
      <c r="E147" s="15"/>
      <c r="F147" s="14"/>
      <c r="G147" s="14"/>
      <c r="H147" s="14"/>
    </row>
    <row r="148" spans="1:8" x14ac:dyDescent="0.3">
      <c r="A148" s="13"/>
      <c r="B148" s="16">
        <f>IF($A148=InvestorTable[[#This Row],[Investor Tally '#]],InvestorTable[[#This Row],[Investor Name]], NA())</f>
        <v>0</v>
      </c>
      <c r="C148" s="14"/>
      <c r="D148" s="17" t="e" cm="1">
        <f t="array" ref="D148">_xlfn.IFS(AND(InvestorTable[[#This Row],[Investor Tally '#]] = 'Payment Tracker'!$A148, 'Payment Tracker'!$C148="Dividend") = TRUE, InvestorTable[[#This Row],[Monthly ROI (₦)]], AND(InvestorTable[[#This Row],[Investor Tally '#]] = 'Payment Tracker'!$A148, 'Payment Tracker'!$C148="Capital") = TRUE, InvestorTable[[#This Row],[Investment Capital (₦)]], AND(InvestorTable[[#This Row],[Investor Tally '#]] = 'Payment Tracker'!$A148, 'Payment Tracker'!$C148="Refund") = TRUE, InvestorTable[[#This Row],[Investment Capital (₦)]] )</f>
        <v>#N/A</v>
      </c>
      <c r="E148" s="15"/>
      <c r="F148" s="14"/>
      <c r="G148" s="14"/>
      <c r="H148" s="14"/>
    </row>
    <row r="149" spans="1:8" x14ac:dyDescent="0.3">
      <c r="A149" s="13"/>
      <c r="B149" s="16">
        <f>IF($A149=InvestorTable[[#This Row],[Investor Tally '#]],InvestorTable[[#This Row],[Investor Name]], NA())</f>
        <v>0</v>
      </c>
      <c r="C149" s="14"/>
      <c r="D149" s="17" t="e" cm="1">
        <f t="array" ref="D149">_xlfn.IFS(AND(InvestorTable[[#This Row],[Investor Tally '#]] = 'Payment Tracker'!$A149, 'Payment Tracker'!$C149="Dividend") = TRUE, InvestorTable[[#This Row],[Monthly ROI (₦)]], AND(InvestorTable[[#This Row],[Investor Tally '#]] = 'Payment Tracker'!$A149, 'Payment Tracker'!$C149="Capital") = TRUE, InvestorTable[[#This Row],[Investment Capital (₦)]], AND(InvestorTable[[#This Row],[Investor Tally '#]] = 'Payment Tracker'!$A149, 'Payment Tracker'!$C149="Refund") = TRUE, InvestorTable[[#This Row],[Investment Capital (₦)]] )</f>
        <v>#N/A</v>
      </c>
      <c r="E149" s="15"/>
      <c r="F149" s="14"/>
      <c r="G149" s="14"/>
      <c r="H149" s="14"/>
    </row>
    <row r="150" spans="1:8" x14ac:dyDescent="0.3">
      <c r="A150" s="13"/>
      <c r="B150" s="16">
        <f>IF($A150=InvestorTable[[#This Row],[Investor Tally '#]],InvestorTable[[#This Row],[Investor Name]], NA())</f>
        <v>0</v>
      </c>
      <c r="C150" s="14"/>
      <c r="D150" s="17" t="e" cm="1">
        <f t="array" ref="D150">_xlfn.IFS(AND(InvestorTable[[#This Row],[Investor Tally '#]] = 'Payment Tracker'!$A150, 'Payment Tracker'!$C150="Dividend") = TRUE, InvestorTable[[#This Row],[Monthly ROI (₦)]], AND(InvestorTable[[#This Row],[Investor Tally '#]] = 'Payment Tracker'!$A150, 'Payment Tracker'!$C150="Capital") = TRUE, InvestorTable[[#This Row],[Investment Capital (₦)]], AND(InvestorTable[[#This Row],[Investor Tally '#]] = 'Payment Tracker'!$A150, 'Payment Tracker'!$C150="Refund") = TRUE, InvestorTable[[#This Row],[Investment Capital (₦)]] )</f>
        <v>#N/A</v>
      </c>
      <c r="E150" s="15"/>
      <c r="F150" s="14"/>
      <c r="G150" s="14"/>
      <c r="H150" s="14"/>
    </row>
    <row r="151" spans="1:8" x14ac:dyDescent="0.3">
      <c r="A151" s="13"/>
      <c r="B151" s="16">
        <f>IF($A151=InvestorTable[[#This Row],[Investor Tally '#]],InvestorTable[[#This Row],[Investor Name]], NA())</f>
        <v>0</v>
      </c>
      <c r="C151" s="14"/>
      <c r="D151" s="17" t="e" cm="1">
        <f t="array" ref="D151">_xlfn.IFS(AND(InvestorTable[[#This Row],[Investor Tally '#]] = 'Payment Tracker'!$A151, 'Payment Tracker'!$C151="Dividend") = TRUE, InvestorTable[[#This Row],[Monthly ROI (₦)]], AND(InvestorTable[[#This Row],[Investor Tally '#]] = 'Payment Tracker'!$A151, 'Payment Tracker'!$C151="Capital") = TRUE, InvestorTable[[#This Row],[Investment Capital (₦)]], AND(InvestorTable[[#This Row],[Investor Tally '#]] = 'Payment Tracker'!$A151, 'Payment Tracker'!$C151="Refund") = TRUE, InvestorTable[[#This Row],[Investment Capital (₦)]] )</f>
        <v>#N/A</v>
      </c>
      <c r="E151" s="15"/>
      <c r="F151" s="14"/>
      <c r="G151" s="14"/>
      <c r="H151" s="14"/>
    </row>
    <row r="152" spans="1:8" x14ac:dyDescent="0.3">
      <c r="A152" s="13"/>
      <c r="B152" s="16">
        <f>IF($A152=InvestorTable[[#This Row],[Investor Tally '#]],InvestorTable[[#This Row],[Investor Name]], NA())</f>
        <v>0</v>
      </c>
      <c r="C152" s="14"/>
      <c r="D152" s="17" t="e" cm="1">
        <f t="array" ref="D152">_xlfn.IFS(AND(InvestorTable[[#This Row],[Investor Tally '#]] = 'Payment Tracker'!$A152, 'Payment Tracker'!$C152="Dividend") = TRUE, InvestorTable[[#This Row],[Monthly ROI (₦)]], AND(InvestorTable[[#This Row],[Investor Tally '#]] = 'Payment Tracker'!$A152, 'Payment Tracker'!$C152="Capital") = TRUE, InvestorTable[[#This Row],[Investment Capital (₦)]], AND(InvestorTable[[#This Row],[Investor Tally '#]] = 'Payment Tracker'!$A152, 'Payment Tracker'!$C152="Refund") = TRUE, InvestorTable[[#This Row],[Investment Capital (₦)]] )</f>
        <v>#N/A</v>
      </c>
      <c r="E152" s="15"/>
      <c r="F152" s="14"/>
      <c r="G152" s="14"/>
      <c r="H152" s="14"/>
    </row>
    <row r="153" spans="1:8" x14ac:dyDescent="0.3">
      <c r="A153" s="13"/>
      <c r="B153" s="16">
        <f>IF($A153=InvestorTable[[#This Row],[Investor Tally '#]],InvestorTable[[#This Row],[Investor Name]], NA())</f>
        <v>0</v>
      </c>
      <c r="C153" s="14"/>
      <c r="D153" s="17" t="e" cm="1">
        <f t="array" ref="D153">_xlfn.IFS(AND(InvestorTable[[#This Row],[Investor Tally '#]] = 'Payment Tracker'!$A153, 'Payment Tracker'!$C153="Dividend") = TRUE, InvestorTable[[#This Row],[Monthly ROI (₦)]], AND(InvestorTable[[#This Row],[Investor Tally '#]] = 'Payment Tracker'!$A153, 'Payment Tracker'!$C153="Capital") = TRUE, InvestorTable[[#This Row],[Investment Capital (₦)]], AND(InvestorTable[[#This Row],[Investor Tally '#]] = 'Payment Tracker'!$A153, 'Payment Tracker'!$C153="Refund") = TRUE, InvestorTable[[#This Row],[Investment Capital (₦)]] )</f>
        <v>#N/A</v>
      </c>
      <c r="E153" s="15"/>
      <c r="F153" s="14"/>
      <c r="G153" s="14"/>
      <c r="H153" s="14"/>
    </row>
    <row r="154" spans="1:8" x14ac:dyDescent="0.3">
      <c r="A154" s="13"/>
      <c r="B154" s="16">
        <f>IF($A154=InvestorTable[[#This Row],[Investor Tally '#]],InvestorTable[[#This Row],[Investor Name]], NA())</f>
        <v>0</v>
      </c>
      <c r="C154" s="14"/>
      <c r="D154" s="17" t="e" cm="1">
        <f t="array" ref="D154">_xlfn.IFS(AND(InvestorTable[[#This Row],[Investor Tally '#]] = 'Payment Tracker'!$A154, 'Payment Tracker'!$C154="Dividend") = TRUE, InvestorTable[[#This Row],[Monthly ROI (₦)]], AND(InvestorTable[[#This Row],[Investor Tally '#]] = 'Payment Tracker'!$A154, 'Payment Tracker'!$C154="Capital") = TRUE, InvestorTable[[#This Row],[Investment Capital (₦)]], AND(InvestorTable[[#This Row],[Investor Tally '#]] = 'Payment Tracker'!$A154, 'Payment Tracker'!$C154="Refund") = TRUE, InvestorTable[[#This Row],[Investment Capital (₦)]] )</f>
        <v>#N/A</v>
      </c>
      <c r="E154" s="15"/>
      <c r="F154" s="14"/>
      <c r="G154" s="14"/>
      <c r="H154" s="14"/>
    </row>
    <row r="155" spans="1:8" x14ac:dyDescent="0.3">
      <c r="A155" s="13"/>
      <c r="B155" s="16">
        <f>IF($A155=InvestorTable[[#This Row],[Investor Tally '#]],InvestorTable[[#This Row],[Investor Name]], NA())</f>
        <v>0</v>
      </c>
      <c r="C155" s="14"/>
      <c r="D155" s="17" t="e" cm="1">
        <f t="array" ref="D155">_xlfn.IFS(AND(InvestorTable[[#This Row],[Investor Tally '#]] = 'Payment Tracker'!$A155, 'Payment Tracker'!$C155="Dividend") = TRUE, InvestorTable[[#This Row],[Monthly ROI (₦)]], AND(InvestorTable[[#This Row],[Investor Tally '#]] = 'Payment Tracker'!$A155, 'Payment Tracker'!$C155="Capital") = TRUE, InvestorTable[[#This Row],[Investment Capital (₦)]], AND(InvestorTable[[#This Row],[Investor Tally '#]] = 'Payment Tracker'!$A155, 'Payment Tracker'!$C155="Refund") = TRUE, InvestorTable[[#This Row],[Investment Capital (₦)]] )</f>
        <v>#N/A</v>
      </c>
      <c r="E155" s="15"/>
      <c r="F155" s="14"/>
      <c r="G155" s="14"/>
      <c r="H155" s="14"/>
    </row>
    <row r="156" spans="1:8" x14ac:dyDescent="0.3">
      <c r="A156" s="13"/>
      <c r="B156" s="16">
        <f>IF($A156=InvestorTable[[#This Row],[Investor Tally '#]],InvestorTable[[#This Row],[Investor Name]], NA())</f>
        <v>0</v>
      </c>
      <c r="C156" s="14"/>
      <c r="D156" s="17" t="e" cm="1">
        <f t="array" ref="D156">_xlfn.IFS(AND(InvestorTable[[#This Row],[Investor Tally '#]] = 'Payment Tracker'!$A156, 'Payment Tracker'!$C156="Dividend") = TRUE, InvestorTable[[#This Row],[Monthly ROI (₦)]], AND(InvestorTable[[#This Row],[Investor Tally '#]] = 'Payment Tracker'!$A156, 'Payment Tracker'!$C156="Capital") = TRUE, InvestorTable[[#This Row],[Investment Capital (₦)]], AND(InvestorTable[[#This Row],[Investor Tally '#]] = 'Payment Tracker'!$A156, 'Payment Tracker'!$C156="Refund") = TRUE, InvestorTable[[#This Row],[Investment Capital (₦)]] )</f>
        <v>#N/A</v>
      </c>
      <c r="E156" s="15"/>
      <c r="F156" s="14"/>
      <c r="G156" s="14"/>
      <c r="H156" s="14"/>
    </row>
    <row r="157" spans="1:8" x14ac:dyDescent="0.3">
      <c r="A157" s="13"/>
      <c r="B157" s="16">
        <f>IF($A157=InvestorTable[[#This Row],[Investor Tally '#]],InvestorTable[[#This Row],[Investor Name]], NA())</f>
        <v>0</v>
      </c>
      <c r="C157" s="14"/>
      <c r="D157" s="17" t="e" cm="1">
        <f t="array" ref="D157">_xlfn.IFS(AND(InvestorTable[[#This Row],[Investor Tally '#]] = 'Payment Tracker'!$A157, 'Payment Tracker'!$C157="Dividend") = TRUE, InvestorTable[[#This Row],[Monthly ROI (₦)]], AND(InvestorTable[[#This Row],[Investor Tally '#]] = 'Payment Tracker'!$A157, 'Payment Tracker'!$C157="Capital") = TRUE, InvestorTable[[#This Row],[Investment Capital (₦)]], AND(InvestorTable[[#This Row],[Investor Tally '#]] = 'Payment Tracker'!$A157, 'Payment Tracker'!$C157="Refund") = TRUE, InvestorTable[[#This Row],[Investment Capital (₦)]] )</f>
        <v>#N/A</v>
      </c>
      <c r="E157" s="15"/>
      <c r="F157" s="14"/>
      <c r="G157" s="14"/>
      <c r="H157" s="14"/>
    </row>
    <row r="158" spans="1:8" x14ac:dyDescent="0.3">
      <c r="A158" s="13"/>
      <c r="B158" s="16">
        <f>IF($A158=InvestorTable[[#This Row],[Investor Tally '#]],InvestorTable[[#This Row],[Investor Name]], NA())</f>
        <v>0</v>
      </c>
      <c r="C158" s="14"/>
      <c r="D158" s="17" t="e" cm="1">
        <f t="array" ref="D158">_xlfn.IFS(AND(InvestorTable[[#This Row],[Investor Tally '#]] = 'Payment Tracker'!$A158, 'Payment Tracker'!$C158="Dividend") = TRUE, InvestorTable[[#This Row],[Monthly ROI (₦)]], AND(InvestorTable[[#This Row],[Investor Tally '#]] = 'Payment Tracker'!$A158, 'Payment Tracker'!$C158="Capital") = TRUE, InvestorTable[[#This Row],[Investment Capital (₦)]], AND(InvestorTable[[#This Row],[Investor Tally '#]] = 'Payment Tracker'!$A158, 'Payment Tracker'!$C158="Refund") = TRUE, InvestorTable[[#This Row],[Investment Capital (₦)]] )</f>
        <v>#N/A</v>
      </c>
      <c r="E158" s="15"/>
      <c r="F158" s="14"/>
      <c r="G158" s="14"/>
      <c r="H158" s="14"/>
    </row>
    <row r="159" spans="1:8" x14ac:dyDescent="0.3">
      <c r="A159" s="13"/>
      <c r="B159" s="16">
        <f>IF($A159=InvestorTable[[#This Row],[Investor Tally '#]],InvestorTable[[#This Row],[Investor Name]], NA())</f>
        <v>0</v>
      </c>
      <c r="C159" s="14"/>
      <c r="D159" s="17" t="e" cm="1">
        <f t="array" ref="D159">_xlfn.IFS(AND(InvestorTable[[#This Row],[Investor Tally '#]] = 'Payment Tracker'!$A159, 'Payment Tracker'!$C159="Dividend") = TRUE, InvestorTable[[#This Row],[Monthly ROI (₦)]], AND(InvestorTable[[#This Row],[Investor Tally '#]] = 'Payment Tracker'!$A159, 'Payment Tracker'!$C159="Capital") = TRUE, InvestorTable[[#This Row],[Investment Capital (₦)]], AND(InvestorTable[[#This Row],[Investor Tally '#]] = 'Payment Tracker'!$A159, 'Payment Tracker'!$C159="Refund") = TRUE, InvestorTable[[#This Row],[Investment Capital (₦)]] )</f>
        <v>#N/A</v>
      </c>
      <c r="E159" s="15"/>
      <c r="F159" s="14"/>
      <c r="G159" s="14"/>
      <c r="H159" s="14"/>
    </row>
    <row r="160" spans="1:8" x14ac:dyDescent="0.3">
      <c r="A160" s="13"/>
      <c r="B160" s="16">
        <f>IF($A160=InvestorTable[[#This Row],[Investor Tally '#]],InvestorTable[[#This Row],[Investor Name]], NA())</f>
        <v>0</v>
      </c>
      <c r="C160" s="14"/>
      <c r="D160" s="17" t="e" cm="1">
        <f t="array" ref="D160">_xlfn.IFS(AND(InvestorTable[[#This Row],[Investor Tally '#]] = 'Payment Tracker'!$A160, 'Payment Tracker'!$C160="Dividend") = TRUE, InvestorTable[[#This Row],[Monthly ROI (₦)]], AND(InvestorTable[[#This Row],[Investor Tally '#]] = 'Payment Tracker'!$A160, 'Payment Tracker'!$C160="Capital") = TRUE, InvestorTable[[#This Row],[Investment Capital (₦)]], AND(InvestorTable[[#This Row],[Investor Tally '#]] = 'Payment Tracker'!$A160, 'Payment Tracker'!$C160="Refund") = TRUE, InvestorTable[[#This Row],[Investment Capital (₦)]] )</f>
        <v>#N/A</v>
      </c>
      <c r="E160" s="15"/>
      <c r="F160" s="14"/>
      <c r="G160" s="14"/>
      <c r="H160" s="14"/>
    </row>
    <row r="161" spans="1:8" x14ac:dyDescent="0.3">
      <c r="A161" s="13"/>
      <c r="B161" s="16">
        <f>IF($A161=InvestorTable[[#This Row],[Investor Tally '#]],InvestorTable[[#This Row],[Investor Name]], NA())</f>
        <v>0</v>
      </c>
      <c r="C161" s="14"/>
      <c r="D161" s="17" t="e" cm="1">
        <f t="array" ref="D161">_xlfn.IFS(AND(InvestorTable[[#This Row],[Investor Tally '#]] = 'Payment Tracker'!$A161, 'Payment Tracker'!$C161="Dividend") = TRUE, InvestorTable[[#This Row],[Monthly ROI (₦)]], AND(InvestorTable[[#This Row],[Investor Tally '#]] = 'Payment Tracker'!$A161, 'Payment Tracker'!$C161="Capital") = TRUE, InvestorTable[[#This Row],[Investment Capital (₦)]], AND(InvestorTable[[#This Row],[Investor Tally '#]] = 'Payment Tracker'!$A161, 'Payment Tracker'!$C161="Refund") = TRUE, InvestorTable[[#This Row],[Investment Capital (₦)]] )</f>
        <v>#N/A</v>
      </c>
      <c r="E161" s="15"/>
      <c r="F161" s="14"/>
      <c r="G161" s="14"/>
      <c r="H161" s="14"/>
    </row>
    <row r="162" spans="1:8" x14ac:dyDescent="0.3">
      <c r="A162" s="13"/>
      <c r="B162" s="16">
        <f>IF($A162=InvestorTable[[#This Row],[Investor Tally '#]],InvestorTable[[#This Row],[Investor Name]], NA())</f>
        <v>0</v>
      </c>
      <c r="C162" s="14"/>
      <c r="D162" s="17" t="e" cm="1">
        <f t="array" ref="D162">_xlfn.IFS(AND(InvestorTable[[#This Row],[Investor Tally '#]] = 'Payment Tracker'!$A162, 'Payment Tracker'!$C162="Dividend") = TRUE, InvestorTable[[#This Row],[Monthly ROI (₦)]], AND(InvestorTable[[#This Row],[Investor Tally '#]] = 'Payment Tracker'!$A162, 'Payment Tracker'!$C162="Capital") = TRUE, InvestorTable[[#This Row],[Investment Capital (₦)]], AND(InvestorTable[[#This Row],[Investor Tally '#]] = 'Payment Tracker'!$A162, 'Payment Tracker'!$C162="Refund") = TRUE, InvestorTable[[#This Row],[Investment Capital (₦)]] )</f>
        <v>#N/A</v>
      </c>
      <c r="E162" s="15"/>
      <c r="F162" s="14"/>
      <c r="G162" s="14"/>
      <c r="H162" s="14"/>
    </row>
    <row r="163" spans="1:8" x14ac:dyDescent="0.3">
      <c r="A163" s="13"/>
      <c r="B163" s="16">
        <f>IF($A163=InvestorTable[[#This Row],[Investor Tally '#]],InvestorTable[[#This Row],[Investor Name]], NA())</f>
        <v>0</v>
      </c>
      <c r="C163" s="14"/>
      <c r="D163" s="17" t="e" cm="1">
        <f t="array" ref="D163">_xlfn.IFS(AND(InvestorTable[[#This Row],[Investor Tally '#]] = 'Payment Tracker'!$A163, 'Payment Tracker'!$C163="Dividend") = TRUE, InvestorTable[[#This Row],[Monthly ROI (₦)]], AND(InvestorTable[[#This Row],[Investor Tally '#]] = 'Payment Tracker'!$A163, 'Payment Tracker'!$C163="Capital") = TRUE, InvestorTable[[#This Row],[Investment Capital (₦)]], AND(InvestorTable[[#This Row],[Investor Tally '#]] = 'Payment Tracker'!$A163, 'Payment Tracker'!$C163="Refund") = TRUE, InvestorTable[[#This Row],[Investment Capital (₦)]] )</f>
        <v>#N/A</v>
      </c>
      <c r="E163" s="15"/>
      <c r="F163" s="14"/>
      <c r="G163" s="14"/>
      <c r="H163" s="14"/>
    </row>
    <row r="164" spans="1:8" x14ac:dyDescent="0.3">
      <c r="A164" s="13"/>
      <c r="B164" s="16">
        <f>IF($A164=InvestorTable[[#This Row],[Investor Tally '#]],InvestorTable[[#This Row],[Investor Name]], NA())</f>
        <v>0</v>
      </c>
      <c r="C164" s="14"/>
      <c r="D164" s="17" t="e" cm="1">
        <f t="array" ref="D164">_xlfn.IFS(AND(InvestorTable[[#This Row],[Investor Tally '#]] = 'Payment Tracker'!$A164, 'Payment Tracker'!$C164="Dividend") = TRUE, InvestorTable[[#This Row],[Monthly ROI (₦)]], AND(InvestorTable[[#This Row],[Investor Tally '#]] = 'Payment Tracker'!$A164, 'Payment Tracker'!$C164="Capital") = TRUE, InvestorTable[[#This Row],[Investment Capital (₦)]], AND(InvestorTable[[#This Row],[Investor Tally '#]] = 'Payment Tracker'!$A164, 'Payment Tracker'!$C164="Refund") = TRUE, InvestorTable[[#This Row],[Investment Capital (₦)]] )</f>
        <v>#N/A</v>
      </c>
      <c r="E164" s="15"/>
      <c r="F164" s="14"/>
      <c r="G164" s="14"/>
      <c r="H164" s="14"/>
    </row>
    <row r="165" spans="1:8" x14ac:dyDescent="0.3">
      <c r="A165" s="13"/>
      <c r="B165" s="16">
        <f>IF($A165=InvestorTable[[#This Row],[Investor Tally '#]],InvestorTable[[#This Row],[Investor Name]], NA())</f>
        <v>0</v>
      </c>
      <c r="C165" s="14"/>
      <c r="D165" s="17" t="e" cm="1">
        <f t="array" ref="D165">_xlfn.IFS(AND(InvestorTable[[#This Row],[Investor Tally '#]] = 'Payment Tracker'!$A165, 'Payment Tracker'!$C165="Dividend") = TRUE, InvestorTable[[#This Row],[Monthly ROI (₦)]], AND(InvestorTable[[#This Row],[Investor Tally '#]] = 'Payment Tracker'!$A165, 'Payment Tracker'!$C165="Capital") = TRUE, InvestorTable[[#This Row],[Investment Capital (₦)]], AND(InvestorTable[[#This Row],[Investor Tally '#]] = 'Payment Tracker'!$A165, 'Payment Tracker'!$C165="Refund") = TRUE, InvestorTable[[#This Row],[Investment Capital (₦)]] )</f>
        <v>#N/A</v>
      </c>
      <c r="E165" s="15"/>
      <c r="F165" s="14"/>
      <c r="G165" s="14"/>
      <c r="H165" s="14"/>
    </row>
    <row r="166" spans="1:8" x14ac:dyDescent="0.3">
      <c r="A166" s="13"/>
      <c r="B166" s="16">
        <f>IF($A166=InvestorTable[[#This Row],[Investor Tally '#]],InvestorTable[[#This Row],[Investor Name]], NA())</f>
        <v>0</v>
      </c>
      <c r="C166" s="14"/>
      <c r="D166" s="17" t="e" cm="1">
        <f t="array" ref="D166">_xlfn.IFS(AND(InvestorTable[[#This Row],[Investor Tally '#]] = 'Payment Tracker'!$A166, 'Payment Tracker'!$C166="Dividend") = TRUE, InvestorTable[[#This Row],[Monthly ROI (₦)]], AND(InvestorTable[[#This Row],[Investor Tally '#]] = 'Payment Tracker'!$A166, 'Payment Tracker'!$C166="Capital") = TRUE, InvestorTable[[#This Row],[Investment Capital (₦)]], AND(InvestorTable[[#This Row],[Investor Tally '#]] = 'Payment Tracker'!$A166, 'Payment Tracker'!$C166="Refund") = TRUE, InvestorTable[[#This Row],[Investment Capital (₦)]] )</f>
        <v>#N/A</v>
      </c>
      <c r="E166" s="15"/>
      <c r="F166" s="14"/>
      <c r="G166" s="14"/>
      <c r="H166" s="14"/>
    </row>
    <row r="167" spans="1:8" x14ac:dyDescent="0.3">
      <c r="A167" s="13"/>
      <c r="B167" s="16">
        <f>IF($A167=InvestorTable[[#This Row],[Investor Tally '#]],InvestorTable[[#This Row],[Investor Name]], NA())</f>
        <v>0</v>
      </c>
      <c r="C167" s="14"/>
      <c r="D167" s="17" t="e" cm="1">
        <f t="array" ref="D167">_xlfn.IFS(AND(InvestorTable[[#This Row],[Investor Tally '#]] = 'Payment Tracker'!$A167, 'Payment Tracker'!$C167="Dividend") = TRUE, InvestorTable[[#This Row],[Monthly ROI (₦)]], AND(InvestorTable[[#This Row],[Investor Tally '#]] = 'Payment Tracker'!$A167, 'Payment Tracker'!$C167="Capital") = TRUE, InvestorTable[[#This Row],[Investment Capital (₦)]], AND(InvestorTable[[#This Row],[Investor Tally '#]] = 'Payment Tracker'!$A167, 'Payment Tracker'!$C167="Refund") = TRUE, InvestorTable[[#This Row],[Investment Capital (₦)]] )</f>
        <v>#N/A</v>
      </c>
      <c r="E167" s="15"/>
      <c r="F167" s="14"/>
      <c r="G167" s="14"/>
      <c r="H167" s="14"/>
    </row>
    <row r="168" spans="1:8" x14ac:dyDescent="0.3">
      <c r="A168" s="13"/>
      <c r="B168" s="16">
        <f>IF($A168=InvestorTable[[#This Row],[Investor Tally '#]],InvestorTable[[#This Row],[Investor Name]], NA())</f>
        <v>0</v>
      </c>
      <c r="C168" s="14"/>
      <c r="D168" s="17" t="e" cm="1">
        <f t="array" ref="D168">_xlfn.IFS(AND(InvestorTable[[#This Row],[Investor Tally '#]] = 'Payment Tracker'!$A168, 'Payment Tracker'!$C168="Dividend") = TRUE, InvestorTable[[#This Row],[Monthly ROI (₦)]], AND(InvestorTable[[#This Row],[Investor Tally '#]] = 'Payment Tracker'!$A168, 'Payment Tracker'!$C168="Capital") = TRUE, InvestorTable[[#This Row],[Investment Capital (₦)]], AND(InvestorTable[[#This Row],[Investor Tally '#]] = 'Payment Tracker'!$A168, 'Payment Tracker'!$C168="Refund") = TRUE, InvestorTable[[#This Row],[Investment Capital (₦)]] )</f>
        <v>#N/A</v>
      </c>
      <c r="E168" s="15"/>
      <c r="F168" s="14"/>
      <c r="G168" s="14"/>
      <c r="H168" s="14"/>
    </row>
    <row r="169" spans="1:8" x14ac:dyDescent="0.3">
      <c r="A169" s="13"/>
      <c r="B169" s="16">
        <f>IF($A169=InvestorTable[[#This Row],[Investor Tally '#]],InvestorTable[[#This Row],[Investor Name]], NA())</f>
        <v>0</v>
      </c>
      <c r="C169" s="14"/>
      <c r="D169" s="17" t="e" cm="1">
        <f t="array" ref="D169">_xlfn.IFS(AND(InvestorTable[[#This Row],[Investor Tally '#]] = 'Payment Tracker'!$A169, 'Payment Tracker'!$C169="Dividend") = TRUE, InvestorTable[[#This Row],[Monthly ROI (₦)]], AND(InvestorTable[[#This Row],[Investor Tally '#]] = 'Payment Tracker'!$A169, 'Payment Tracker'!$C169="Capital") = TRUE, InvestorTable[[#This Row],[Investment Capital (₦)]], AND(InvestorTable[[#This Row],[Investor Tally '#]] = 'Payment Tracker'!$A169, 'Payment Tracker'!$C169="Refund") = TRUE, InvestorTable[[#This Row],[Investment Capital (₦)]] )</f>
        <v>#N/A</v>
      </c>
      <c r="E169" s="15"/>
      <c r="F169" s="14"/>
      <c r="G169" s="14"/>
      <c r="H169" s="14"/>
    </row>
    <row r="170" spans="1:8" x14ac:dyDescent="0.3">
      <c r="A170" s="13"/>
      <c r="B170" s="16">
        <f>IF($A170=InvestorTable[[#This Row],[Investor Tally '#]],InvestorTable[[#This Row],[Investor Name]], NA())</f>
        <v>0</v>
      </c>
      <c r="C170" s="14"/>
      <c r="D170" s="17" t="e" cm="1">
        <f t="array" ref="D170">_xlfn.IFS(AND(InvestorTable[[#This Row],[Investor Tally '#]] = 'Payment Tracker'!$A170, 'Payment Tracker'!$C170="Dividend") = TRUE, InvestorTable[[#This Row],[Monthly ROI (₦)]], AND(InvestorTable[[#This Row],[Investor Tally '#]] = 'Payment Tracker'!$A170, 'Payment Tracker'!$C170="Capital") = TRUE, InvestorTable[[#This Row],[Investment Capital (₦)]], AND(InvestorTable[[#This Row],[Investor Tally '#]] = 'Payment Tracker'!$A170, 'Payment Tracker'!$C170="Refund") = TRUE, InvestorTable[[#This Row],[Investment Capital (₦)]] )</f>
        <v>#N/A</v>
      </c>
      <c r="E170" s="15"/>
      <c r="F170" s="14"/>
      <c r="G170" s="14"/>
      <c r="H170" s="14"/>
    </row>
    <row r="171" spans="1:8" x14ac:dyDescent="0.3">
      <c r="A171" s="13"/>
      <c r="B171" s="16">
        <f>IF($A171=InvestorTable[[#This Row],[Investor Tally '#]],InvestorTable[[#This Row],[Investor Name]], NA())</f>
        <v>0</v>
      </c>
      <c r="C171" s="14"/>
      <c r="D171" s="17" t="e" cm="1">
        <f t="array" ref="D171">_xlfn.IFS(AND(InvestorTable[[#This Row],[Investor Tally '#]] = 'Payment Tracker'!$A171, 'Payment Tracker'!$C171="Dividend") = TRUE, InvestorTable[[#This Row],[Monthly ROI (₦)]], AND(InvestorTable[[#This Row],[Investor Tally '#]] = 'Payment Tracker'!$A171, 'Payment Tracker'!$C171="Capital") = TRUE, InvestorTable[[#This Row],[Investment Capital (₦)]], AND(InvestorTable[[#This Row],[Investor Tally '#]] = 'Payment Tracker'!$A171, 'Payment Tracker'!$C171="Refund") = TRUE, InvestorTable[[#This Row],[Investment Capital (₦)]] )</f>
        <v>#N/A</v>
      </c>
      <c r="E171" s="15"/>
      <c r="F171" s="14"/>
      <c r="G171" s="14"/>
      <c r="H171" s="14"/>
    </row>
    <row r="172" spans="1:8" x14ac:dyDescent="0.3">
      <c r="A172" s="13"/>
      <c r="B172" s="16">
        <f>IF($A172=InvestorTable[[#This Row],[Investor Tally '#]],InvestorTable[[#This Row],[Investor Name]], NA())</f>
        <v>0</v>
      </c>
      <c r="C172" s="14"/>
      <c r="D172" s="17" t="e" cm="1">
        <f t="array" ref="D172">_xlfn.IFS(AND(InvestorTable[[#This Row],[Investor Tally '#]] = 'Payment Tracker'!$A172, 'Payment Tracker'!$C172="Dividend") = TRUE, InvestorTable[[#This Row],[Monthly ROI (₦)]], AND(InvestorTable[[#This Row],[Investor Tally '#]] = 'Payment Tracker'!$A172, 'Payment Tracker'!$C172="Capital") = TRUE, InvestorTable[[#This Row],[Investment Capital (₦)]], AND(InvestorTable[[#This Row],[Investor Tally '#]] = 'Payment Tracker'!$A172, 'Payment Tracker'!$C172="Refund") = TRUE, InvestorTable[[#This Row],[Investment Capital (₦)]] )</f>
        <v>#N/A</v>
      </c>
      <c r="E172" s="15"/>
      <c r="F172" s="14"/>
      <c r="G172" s="14"/>
      <c r="H172" s="14"/>
    </row>
    <row r="173" spans="1:8" x14ac:dyDescent="0.3">
      <c r="A173" s="13"/>
      <c r="B173" s="16">
        <f>IF($A173=InvestorTable[[#This Row],[Investor Tally '#]],InvestorTable[[#This Row],[Investor Name]], NA())</f>
        <v>0</v>
      </c>
      <c r="C173" s="14"/>
      <c r="D173" s="17" t="e" cm="1">
        <f t="array" ref="D173">_xlfn.IFS(AND(InvestorTable[[#This Row],[Investor Tally '#]] = 'Payment Tracker'!$A173, 'Payment Tracker'!$C173="Dividend") = TRUE, InvestorTable[[#This Row],[Monthly ROI (₦)]], AND(InvestorTable[[#This Row],[Investor Tally '#]] = 'Payment Tracker'!$A173, 'Payment Tracker'!$C173="Capital") = TRUE, InvestorTable[[#This Row],[Investment Capital (₦)]], AND(InvestorTable[[#This Row],[Investor Tally '#]] = 'Payment Tracker'!$A173, 'Payment Tracker'!$C173="Refund") = TRUE, InvestorTable[[#This Row],[Investment Capital (₦)]] )</f>
        <v>#N/A</v>
      </c>
      <c r="E173" s="15"/>
      <c r="F173" s="14"/>
      <c r="G173" s="14"/>
      <c r="H173" s="14"/>
    </row>
    <row r="174" spans="1:8" x14ac:dyDescent="0.3">
      <c r="A174" s="13"/>
      <c r="B174" s="16">
        <f>IF($A174=InvestorTable[[#This Row],[Investor Tally '#]],InvestorTable[[#This Row],[Investor Name]], NA())</f>
        <v>0</v>
      </c>
      <c r="C174" s="14"/>
      <c r="D174" s="17" t="e" cm="1">
        <f t="array" ref="D174">_xlfn.IFS(AND(InvestorTable[[#This Row],[Investor Tally '#]] = 'Payment Tracker'!$A174, 'Payment Tracker'!$C174="Dividend") = TRUE, InvestorTable[[#This Row],[Monthly ROI (₦)]], AND(InvestorTable[[#This Row],[Investor Tally '#]] = 'Payment Tracker'!$A174, 'Payment Tracker'!$C174="Capital") = TRUE, InvestorTable[[#This Row],[Investment Capital (₦)]], AND(InvestorTable[[#This Row],[Investor Tally '#]] = 'Payment Tracker'!$A174, 'Payment Tracker'!$C174="Refund") = TRUE, InvestorTable[[#This Row],[Investment Capital (₦)]] )</f>
        <v>#N/A</v>
      </c>
      <c r="E174" s="15"/>
      <c r="F174" s="14"/>
      <c r="G174" s="14"/>
      <c r="H174" s="14"/>
    </row>
    <row r="175" spans="1:8" x14ac:dyDescent="0.3">
      <c r="A175" s="13"/>
      <c r="B175" s="16">
        <f>IF($A175=InvestorTable[[#This Row],[Investor Tally '#]],InvestorTable[[#This Row],[Investor Name]], NA())</f>
        <v>0</v>
      </c>
      <c r="C175" s="14"/>
      <c r="D175" s="17" t="e" cm="1">
        <f t="array" ref="D175">_xlfn.IFS(AND(InvestorTable[[#This Row],[Investor Tally '#]] = 'Payment Tracker'!$A175, 'Payment Tracker'!$C175="Dividend") = TRUE, InvestorTable[[#This Row],[Monthly ROI (₦)]], AND(InvestorTable[[#This Row],[Investor Tally '#]] = 'Payment Tracker'!$A175, 'Payment Tracker'!$C175="Capital") = TRUE, InvestorTable[[#This Row],[Investment Capital (₦)]], AND(InvestorTable[[#This Row],[Investor Tally '#]] = 'Payment Tracker'!$A175, 'Payment Tracker'!$C175="Refund") = TRUE, InvestorTable[[#This Row],[Investment Capital (₦)]] )</f>
        <v>#N/A</v>
      </c>
      <c r="E175" s="15"/>
      <c r="F175" s="14"/>
      <c r="G175" s="14"/>
      <c r="H175" s="14"/>
    </row>
    <row r="176" spans="1:8" x14ac:dyDescent="0.3">
      <c r="A176" s="13"/>
      <c r="B176" s="16">
        <f>IF($A176=InvestorTable[[#This Row],[Investor Tally '#]],InvestorTable[[#This Row],[Investor Name]], NA())</f>
        <v>0</v>
      </c>
      <c r="C176" s="14"/>
      <c r="D176" s="17" t="e" cm="1">
        <f t="array" ref="D176">_xlfn.IFS(AND(InvestorTable[[#This Row],[Investor Tally '#]] = 'Payment Tracker'!$A176, 'Payment Tracker'!$C176="Dividend") = TRUE, InvestorTable[[#This Row],[Monthly ROI (₦)]], AND(InvestorTable[[#This Row],[Investor Tally '#]] = 'Payment Tracker'!$A176, 'Payment Tracker'!$C176="Capital") = TRUE, InvestorTable[[#This Row],[Investment Capital (₦)]], AND(InvestorTable[[#This Row],[Investor Tally '#]] = 'Payment Tracker'!$A176, 'Payment Tracker'!$C176="Refund") = TRUE, InvestorTable[[#This Row],[Investment Capital (₦)]] )</f>
        <v>#N/A</v>
      </c>
      <c r="E176" s="15"/>
      <c r="F176" s="14"/>
      <c r="G176" s="14"/>
      <c r="H176" s="14"/>
    </row>
    <row r="177" spans="1:8" x14ac:dyDescent="0.3">
      <c r="A177" s="13"/>
      <c r="B177" s="16">
        <f>IF($A177=InvestorTable[[#This Row],[Investor Tally '#]],InvestorTable[[#This Row],[Investor Name]], NA())</f>
        <v>0</v>
      </c>
      <c r="C177" s="14"/>
      <c r="D177" s="17" t="e" cm="1">
        <f t="array" ref="D177">_xlfn.IFS(AND(InvestorTable[[#This Row],[Investor Tally '#]] = 'Payment Tracker'!$A177, 'Payment Tracker'!$C177="Dividend") = TRUE, InvestorTable[[#This Row],[Monthly ROI (₦)]], AND(InvestorTable[[#This Row],[Investor Tally '#]] = 'Payment Tracker'!$A177, 'Payment Tracker'!$C177="Capital") = TRUE, InvestorTable[[#This Row],[Investment Capital (₦)]], AND(InvestorTable[[#This Row],[Investor Tally '#]] = 'Payment Tracker'!$A177, 'Payment Tracker'!$C177="Refund") = TRUE, InvestorTable[[#This Row],[Investment Capital (₦)]] )</f>
        <v>#N/A</v>
      </c>
      <c r="E177" s="15"/>
      <c r="F177" s="14"/>
      <c r="G177" s="14"/>
      <c r="H177" s="14"/>
    </row>
    <row r="178" spans="1:8" x14ac:dyDescent="0.3">
      <c r="A178" s="13"/>
      <c r="B178" s="16">
        <f>IF($A178=InvestorTable[[#This Row],[Investor Tally '#]],InvestorTable[[#This Row],[Investor Name]], NA())</f>
        <v>0</v>
      </c>
      <c r="C178" s="14"/>
      <c r="D178" s="17" t="e" cm="1">
        <f t="array" ref="D178">_xlfn.IFS(AND(InvestorTable[[#This Row],[Investor Tally '#]] = 'Payment Tracker'!$A178, 'Payment Tracker'!$C178="Dividend") = TRUE, InvestorTable[[#This Row],[Monthly ROI (₦)]], AND(InvestorTable[[#This Row],[Investor Tally '#]] = 'Payment Tracker'!$A178, 'Payment Tracker'!$C178="Capital") = TRUE, InvestorTable[[#This Row],[Investment Capital (₦)]], AND(InvestorTable[[#This Row],[Investor Tally '#]] = 'Payment Tracker'!$A178, 'Payment Tracker'!$C178="Refund") = TRUE, InvestorTable[[#This Row],[Investment Capital (₦)]] )</f>
        <v>#N/A</v>
      </c>
      <c r="E178" s="15"/>
      <c r="F178" s="14"/>
      <c r="G178" s="14"/>
      <c r="H178" s="14"/>
    </row>
    <row r="179" spans="1:8" x14ac:dyDescent="0.3">
      <c r="A179" s="13"/>
      <c r="B179" s="16">
        <f>IF($A179=InvestorTable[[#This Row],[Investor Tally '#]],InvestorTable[[#This Row],[Investor Name]], NA())</f>
        <v>0</v>
      </c>
      <c r="C179" s="14"/>
      <c r="D179" s="17" t="e" cm="1">
        <f t="array" ref="D179">_xlfn.IFS(AND(InvestorTable[[#This Row],[Investor Tally '#]] = 'Payment Tracker'!$A179, 'Payment Tracker'!$C179="Dividend") = TRUE, InvestorTable[[#This Row],[Monthly ROI (₦)]], AND(InvestorTable[[#This Row],[Investor Tally '#]] = 'Payment Tracker'!$A179, 'Payment Tracker'!$C179="Capital") = TRUE, InvestorTable[[#This Row],[Investment Capital (₦)]], AND(InvestorTable[[#This Row],[Investor Tally '#]] = 'Payment Tracker'!$A179, 'Payment Tracker'!$C179="Refund") = TRUE, InvestorTable[[#This Row],[Investment Capital (₦)]] )</f>
        <v>#N/A</v>
      </c>
      <c r="E179" s="15"/>
      <c r="F179" s="14"/>
      <c r="G179" s="14"/>
      <c r="H179" s="14"/>
    </row>
    <row r="180" spans="1:8" x14ac:dyDescent="0.3">
      <c r="A180" s="13"/>
      <c r="B180" s="16">
        <f>IF($A180=InvestorTable[[#This Row],[Investor Tally '#]],InvestorTable[[#This Row],[Investor Name]], NA())</f>
        <v>0</v>
      </c>
      <c r="C180" s="14"/>
      <c r="D180" s="17" t="e" cm="1">
        <f t="array" ref="D180">_xlfn.IFS(AND(InvestorTable[[#This Row],[Investor Tally '#]] = 'Payment Tracker'!$A180, 'Payment Tracker'!$C180="Dividend") = TRUE, InvestorTable[[#This Row],[Monthly ROI (₦)]], AND(InvestorTable[[#This Row],[Investor Tally '#]] = 'Payment Tracker'!$A180, 'Payment Tracker'!$C180="Capital") = TRUE, InvestorTable[[#This Row],[Investment Capital (₦)]], AND(InvestorTable[[#This Row],[Investor Tally '#]] = 'Payment Tracker'!$A180, 'Payment Tracker'!$C180="Refund") = TRUE, InvestorTable[[#This Row],[Investment Capital (₦)]] )</f>
        <v>#N/A</v>
      </c>
      <c r="E180" s="15"/>
      <c r="F180" s="14"/>
      <c r="G180" s="14"/>
      <c r="H180" s="14"/>
    </row>
    <row r="181" spans="1:8" x14ac:dyDescent="0.3">
      <c r="A181" s="13"/>
      <c r="B181" s="16">
        <f>IF($A181=InvestorTable[[#This Row],[Investor Tally '#]],InvestorTable[[#This Row],[Investor Name]], NA())</f>
        <v>0</v>
      </c>
      <c r="C181" s="14"/>
      <c r="D181" s="17" t="e" cm="1">
        <f t="array" ref="D181">_xlfn.IFS(AND(InvestorTable[[#This Row],[Investor Tally '#]] = 'Payment Tracker'!$A181, 'Payment Tracker'!$C181="Dividend") = TRUE, InvestorTable[[#This Row],[Monthly ROI (₦)]], AND(InvestorTable[[#This Row],[Investor Tally '#]] = 'Payment Tracker'!$A181, 'Payment Tracker'!$C181="Capital") = TRUE, InvestorTable[[#This Row],[Investment Capital (₦)]], AND(InvestorTable[[#This Row],[Investor Tally '#]] = 'Payment Tracker'!$A181, 'Payment Tracker'!$C181="Refund") = TRUE, InvestorTable[[#This Row],[Investment Capital (₦)]] )</f>
        <v>#N/A</v>
      </c>
      <c r="E181" s="15"/>
      <c r="F181" s="14"/>
      <c r="G181" s="14"/>
      <c r="H181" s="14"/>
    </row>
    <row r="182" spans="1:8" x14ac:dyDescent="0.3">
      <c r="A182" s="13"/>
      <c r="B182" s="16">
        <f>IF($A182=InvestorTable[[#This Row],[Investor Tally '#]],InvestorTable[[#This Row],[Investor Name]], NA())</f>
        <v>0</v>
      </c>
      <c r="C182" s="14"/>
      <c r="D182" s="17" t="e" cm="1">
        <f t="array" ref="D182">_xlfn.IFS(AND(InvestorTable[[#This Row],[Investor Tally '#]] = 'Payment Tracker'!$A182, 'Payment Tracker'!$C182="Dividend") = TRUE, InvestorTable[[#This Row],[Monthly ROI (₦)]], AND(InvestorTable[[#This Row],[Investor Tally '#]] = 'Payment Tracker'!$A182, 'Payment Tracker'!$C182="Capital") = TRUE, InvestorTable[[#This Row],[Investment Capital (₦)]], AND(InvestorTable[[#This Row],[Investor Tally '#]] = 'Payment Tracker'!$A182, 'Payment Tracker'!$C182="Refund") = TRUE, InvestorTable[[#This Row],[Investment Capital (₦)]] )</f>
        <v>#N/A</v>
      </c>
      <c r="E182" s="15"/>
      <c r="F182" s="14"/>
      <c r="G182" s="14"/>
      <c r="H182" s="14"/>
    </row>
    <row r="183" spans="1:8" x14ac:dyDescent="0.3">
      <c r="A183" s="13"/>
      <c r="B183" s="16">
        <f>IF($A183=InvestorTable[[#This Row],[Investor Tally '#]],InvestorTable[[#This Row],[Investor Name]], NA())</f>
        <v>0</v>
      </c>
      <c r="C183" s="14"/>
      <c r="D183" s="17" t="e" cm="1">
        <f t="array" ref="D183">_xlfn.IFS(AND(InvestorTable[[#This Row],[Investor Tally '#]] = 'Payment Tracker'!$A183, 'Payment Tracker'!$C183="Dividend") = TRUE, InvestorTable[[#This Row],[Monthly ROI (₦)]], AND(InvestorTable[[#This Row],[Investor Tally '#]] = 'Payment Tracker'!$A183, 'Payment Tracker'!$C183="Capital") = TRUE, InvestorTable[[#This Row],[Investment Capital (₦)]], AND(InvestorTable[[#This Row],[Investor Tally '#]] = 'Payment Tracker'!$A183, 'Payment Tracker'!$C183="Refund") = TRUE, InvestorTable[[#This Row],[Investment Capital (₦)]] )</f>
        <v>#N/A</v>
      </c>
      <c r="E183" s="15"/>
      <c r="F183" s="14"/>
      <c r="G183" s="14"/>
      <c r="H183" s="14"/>
    </row>
    <row r="184" spans="1:8" x14ac:dyDescent="0.3">
      <c r="A184" s="13"/>
      <c r="B184" s="16">
        <f>IF($A184=InvestorTable[[#This Row],[Investor Tally '#]],InvestorTable[[#This Row],[Investor Name]], NA())</f>
        <v>0</v>
      </c>
      <c r="C184" s="14"/>
      <c r="D184" s="17" t="e" cm="1">
        <f t="array" ref="D184">_xlfn.IFS(AND(InvestorTable[[#This Row],[Investor Tally '#]] = 'Payment Tracker'!$A184, 'Payment Tracker'!$C184="Dividend") = TRUE, InvestorTable[[#This Row],[Monthly ROI (₦)]], AND(InvestorTable[[#This Row],[Investor Tally '#]] = 'Payment Tracker'!$A184, 'Payment Tracker'!$C184="Capital") = TRUE, InvestorTable[[#This Row],[Investment Capital (₦)]], AND(InvestorTable[[#This Row],[Investor Tally '#]] = 'Payment Tracker'!$A184, 'Payment Tracker'!$C184="Refund") = TRUE, InvestorTable[[#This Row],[Investment Capital (₦)]] )</f>
        <v>#N/A</v>
      </c>
      <c r="E184" s="15"/>
      <c r="F184" s="14"/>
      <c r="G184" s="14"/>
      <c r="H184" s="14"/>
    </row>
    <row r="185" spans="1:8" x14ac:dyDescent="0.3">
      <c r="A185" s="13"/>
      <c r="B185" s="16">
        <f>IF($A185=InvestorTable[[#This Row],[Investor Tally '#]],InvestorTable[[#This Row],[Investor Name]], NA())</f>
        <v>0</v>
      </c>
      <c r="C185" s="14"/>
      <c r="D185" s="17" t="e" cm="1">
        <f t="array" ref="D185">_xlfn.IFS(AND(InvestorTable[[#This Row],[Investor Tally '#]] = 'Payment Tracker'!$A185, 'Payment Tracker'!$C185="Dividend") = TRUE, InvestorTable[[#This Row],[Monthly ROI (₦)]], AND(InvestorTable[[#This Row],[Investor Tally '#]] = 'Payment Tracker'!$A185, 'Payment Tracker'!$C185="Capital") = TRUE, InvestorTable[[#This Row],[Investment Capital (₦)]], AND(InvestorTable[[#This Row],[Investor Tally '#]] = 'Payment Tracker'!$A185, 'Payment Tracker'!$C185="Refund") = TRUE, InvestorTable[[#This Row],[Investment Capital (₦)]] )</f>
        <v>#N/A</v>
      </c>
      <c r="E185" s="15"/>
      <c r="F185" s="14"/>
      <c r="G185" s="14"/>
      <c r="H185" s="14"/>
    </row>
    <row r="186" spans="1:8" x14ac:dyDescent="0.3">
      <c r="A186" s="13"/>
      <c r="B186" s="16">
        <f>IF($A186=InvestorTable[[#This Row],[Investor Tally '#]],InvestorTable[[#This Row],[Investor Name]], NA())</f>
        <v>0</v>
      </c>
      <c r="C186" s="14"/>
      <c r="D186" s="17" t="e" cm="1">
        <f t="array" ref="D186">_xlfn.IFS(AND(InvestorTable[[#This Row],[Investor Tally '#]] = 'Payment Tracker'!$A186, 'Payment Tracker'!$C186="Dividend") = TRUE, InvestorTable[[#This Row],[Monthly ROI (₦)]], AND(InvestorTable[[#This Row],[Investor Tally '#]] = 'Payment Tracker'!$A186, 'Payment Tracker'!$C186="Capital") = TRUE, InvestorTable[[#This Row],[Investment Capital (₦)]], AND(InvestorTable[[#This Row],[Investor Tally '#]] = 'Payment Tracker'!$A186, 'Payment Tracker'!$C186="Refund") = TRUE, InvestorTable[[#This Row],[Investment Capital (₦)]] )</f>
        <v>#N/A</v>
      </c>
      <c r="E186" s="15"/>
      <c r="F186" s="14"/>
      <c r="G186" s="14"/>
      <c r="H186" s="14"/>
    </row>
    <row r="187" spans="1:8" x14ac:dyDescent="0.3">
      <c r="A187" s="13"/>
      <c r="B187" s="16">
        <f>IF($A187=InvestorTable[[#This Row],[Investor Tally '#]],InvestorTable[[#This Row],[Investor Name]], NA())</f>
        <v>0</v>
      </c>
      <c r="C187" s="14"/>
      <c r="D187" s="17" t="e" cm="1">
        <f t="array" ref="D187">_xlfn.IFS(AND(InvestorTable[[#This Row],[Investor Tally '#]] = 'Payment Tracker'!$A187, 'Payment Tracker'!$C187="Dividend") = TRUE, InvestorTable[[#This Row],[Monthly ROI (₦)]], AND(InvestorTable[[#This Row],[Investor Tally '#]] = 'Payment Tracker'!$A187, 'Payment Tracker'!$C187="Capital") = TRUE, InvestorTable[[#This Row],[Investment Capital (₦)]], AND(InvestorTable[[#This Row],[Investor Tally '#]] = 'Payment Tracker'!$A187, 'Payment Tracker'!$C187="Refund") = TRUE, InvestorTable[[#This Row],[Investment Capital (₦)]] )</f>
        <v>#N/A</v>
      </c>
      <c r="E187" s="15"/>
      <c r="F187" s="14"/>
      <c r="G187" s="14"/>
      <c r="H187" s="14"/>
    </row>
    <row r="188" spans="1:8" x14ac:dyDescent="0.3">
      <c r="A188" s="13"/>
      <c r="B188" s="16">
        <f>IF($A188=InvestorTable[[#This Row],[Investor Tally '#]],InvestorTable[[#This Row],[Investor Name]], NA())</f>
        <v>0</v>
      </c>
      <c r="C188" s="14"/>
      <c r="D188" s="17" t="e" cm="1">
        <f t="array" ref="D188">_xlfn.IFS(AND(InvestorTable[[#This Row],[Investor Tally '#]] = 'Payment Tracker'!$A188, 'Payment Tracker'!$C188="Dividend") = TRUE, InvestorTable[[#This Row],[Monthly ROI (₦)]], AND(InvestorTable[[#This Row],[Investor Tally '#]] = 'Payment Tracker'!$A188, 'Payment Tracker'!$C188="Capital") = TRUE, InvestorTable[[#This Row],[Investment Capital (₦)]], AND(InvestorTable[[#This Row],[Investor Tally '#]] = 'Payment Tracker'!$A188, 'Payment Tracker'!$C188="Refund") = TRUE, InvestorTable[[#This Row],[Investment Capital (₦)]] )</f>
        <v>#N/A</v>
      </c>
      <c r="E188" s="15"/>
      <c r="F188" s="14"/>
      <c r="G188" s="14"/>
      <c r="H188" s="14"/>
    </row>
    <row r="189" spans="1:8" x14ac:dyDescent="0.3">
      <c r="A189" s="13"/>
      <c r="B189" s="16">
        <f>IF($A189=InvestorTable[[#This Row],[Investor Tally '#]],InvestorTable[[#This Row],[Investor Name]], NA())</f>
        <v>0</v>
      </c>
      <c r="C189" s="14"/>
      <c r="D189" s="17" t="e" cm="1">
        <f t="array" ref="D189">_xlfn.IFS(AND(InvestorTable[[#This Row],[Investor Tally '#]] = 'Payment Tracker'!$A189, 'Payment Tracker'!$C189="Dividend") = TRUE, InvestorTable[[#This Row],[Monthly ROI (₦)]], AND(InvestorTable[[#This Row],[Investor Tally '#]] = 'Payment Tracker'!$A189, 'Payment Tracker'!$C189="Capital") = TRUE, InvestorTable[[#This Row],[Investment Capital (₦)]], AND(InvestorTable[[#This Row],[Investor Tally '#]] = 'Payment Tracker'!$A189, 'Payment Tracker'!$C189="Refund") = TRUE, InvestorTable[[#This Row],[Investment Capital (₦)]] )</f>
        <v>#N/A</v>
      </c>
      <c r="E189" s="15"/>
      <c r="F189" s="14"/>
      <c r="G189" s="14"/>
      <c r="H189" s="14"/>
    </row>
    <row r="190" spans="1:8" x14ac:dyDescent="0.3">
      <c r="A190" s="13"/>
      <c r="B190" s="16">
        <f>IF($A190=InvestorTable[[#This Row],[Investor Tally '#]],InvestorTable[[#This Row],[Investor Name]], NA())</f>
        <v>0</v>
      </c>
      <c r="C190" s="14"/>
      <c r="D190" s="17" t="e" cm="1">
        <f t="array" ref="D190">_xlfn.IFS(AND(InvestorTable[[#This Row],[Investor Tally '#]] = 'Payment Tracker'!$A190, 'Payment Tracker'!$C190="Dividend") = TRUE, InvestorTable[[#This Row],[Monthly ROI (₦)]], AND(InvestorTable[[#This Row],[Investor Tally '#]] = 'Payment Tracker'!$A190, 'Payment Tracker'!$C190="Capital") = TRUE, InvestorTable[[#This Row],[Investment Capital (₦)]], AND(InvestorTable[[#This Row],[Investor Tally '#]] = 'Payment Tracker'!$A190, 'Payment Tracker'!$C190="Refund") = TRUE, InvestorTable[[#This Row],[Investment Capital (₦)]] )</f>
        <v>#N/A</v>
      </c>
      <c r="E190" s="15"/>
      <c r="F190" s="14"/>
      <c r="G190" s="14"/>
      <c r="H190" s="14"/>
    </row>
    <row r="191" spans="1:8" x14ac:dyDescent="0.3">
      <c r="A191" s="13"/>
      <c r="B191" s="16">
        <f>IF($A191=InvestorTable[[#This Row],[Investor Tally '#]],InvestorTable[[#This Row],[Investor Name]], NA())</f>
        <v>0</v>
      </c>
      <c r="C191" s="14"/>
      <c r="D191" s="17" t="e" cm="1">
        <f t="array" ref="D191">_xlfn.IFS(AND(InvestorTable[[#This Row],[Investor Tally '#]] = 'Payment Tracker'!$A191, 'Payment Tracker'!$C191="Dividend") = TRUE, InvestorTable[[#This Row],[Monthly ROI (₦)]], AND(InvestorTable[[#This Row],[Investor Tally '#]] = 'Payment Tracker'!$A191, 'Payment Tracker'!$C191="Capital") = TRUE, InvestorTable[[#This Row],[Investment Capital (₦)]], AND(InvestorTable[[#This Row],[Investor Tally '#]] = 'Payment Tracker'!$A191, 'Payment Tracker'!$C191="Refund") = TRUE, InvestorTable[[#This Row],[Investment Capital (₦)]] )</f>
        <v>#N/A</v>
      </c>
      <c r="E191" s="15"/>
      <c r="F191" s="14"/>
      <c r="G191" s="14"/>
      <c r="H191" s="14"/>
    </row>
    <row r="192" spans="1:8" x14ac:dyDescent="0.3">
      <c r="A192" s="13"/>
      <c r="B192" s="16">
        <f>IF($A192=InvestorTable[[#This Row],[Investor Tally '#]],InvestorTable[[#This Row],[Investor Name]], NA())</f>
        <v>0</v>
      </c>
      <c r="C192" s="14"/>
      <c r="D192" s="17" t="e" cm="1">
        <f t="array" ref="D192">_xlfn.IFS(AND(InvestorTable[[#This Row],[Investor Tally '#]] = 'Payment Tracker'!$A192, 'Payment Tracker'!$C192="Dividend") = TRUE, InvestorTable[[#This Row],[Monthly ROI (₦)]], AND(InvestorTable[[#This Row],[Investor Tally '#]] = 'Payment Tracker'!$A192, 'Payment Tracker'!$C192="Capital") = TRUE, InvestorTable[[#This Row],[Investment Capital (₦)]], AND(InvestorTable[[#This Row],[Investor Tally '#]] = 'Payment Tracker'!$A192, 'Payment Tracker'!$C192="Refund") = TRUE, InvestorTable[[#This Row],[Investment Capital (₦)]] )</f>
        <v>#N/A</v>
      </c>
      <c r="E192" s="15"/>
      <c r="F192" s="14"/>
      <c r="G192" s="14"/>
      <c r="H192" s="14"/>
    </row>
    <row r="193" spans="1:8" x14ac:dyDescent="0.3">
      <c r="A193" s="13"/>
      <c r="B193" s="16">
        <f>IF($A193=InvestorTable[[#This Row],[Investor Tally '#]],InvestorTable[[#This Row],[Investor Name]], NA())</f>
        <v>0</v>
      </c>
      <c r="C193" s="14"/>
      <c r="D193" s="17" t="e" cm="1">
        <f t="array" ref="D193">_xlfn.IFS(AND(InvestorTable[[#This Row],[Investor Tally '#]] = 'Payment Tracker'!$A193, 'Payment Tracker'!$C193="Dividend") = TRUE, InvestorTable[[#This Row],[Monthly ROI (₦)]], AND(InvestorTable[[#This Row],[Investor Tally '#]] = 'Payment Tracker'!$A193, 'Payment Tracker'!$C193="Capital") = TRUE, InvestorTable[[#This Row],[Investment Capital (₦)]], AND(InvestorTable[[#This Row],[Investor Tally '#]] = 'Payment Tracker'!$A193, 'Payment Tracker'!$C193="Refund") = TRUE, InvestorTable[[#This Row],[Investment Capital (₦)]] )</f>
        <v>#N/A</v>
      </c>
      <c r="E193" s="15"/>
      <c r="F193" s="14"/>
      <c r="G193" s="14"/>
      <c r="H193" s="14"/>
    </row>
    <row r="194" spans="1:8" x14ac:dyDescent="0.3">
      <c r="A194" s="13"/>
      <c r="B194" s="16">
        <f>IF($A194=InvestorTable[[#This Row],[Investor Tally '#]],InvestorTable[[#This Row],[Investor Name]], NA())</f>
        <v>0</v>
      </c>
      <c r="C194" s="14"/>
      <c r="D194" s="17" t="e" cm="1">
        <f t="array" ref="D194">_xlfn.IFS(AND(InvestorTable[[#This Row],[Investor Tally '#]] = 'Payment Tracker'!$A194, 'Payment Tracker'!$C194="Dividend") = TRUE, InvestorTable[[#This Row],[Monthly ROI (₦)]], AND(InvestorTable[[#This Row],[Investor Tally '#]] = 'Payment Tracker'!$A194, 'Payment Tracker'!$C194="Capital") = TRUE, InvestorTable[[#This Row],[Investment Capital (₦)]], AND(InvestorTable[[#This Row],[Investor Tally '#]] = 'Payment Tracker'!$A194, 'Payment Tracker'!$C194="Refund") = TRUE, InvestorTable[[#This Row],[Investment Capital (₦)]] )</f>
        <v>#N/A</v>
      </c>
      <c r="E194" s="15"/>
      <c r="F194" s="14"/>
      <c r="G194" s="14"/>
      <c r="H194" s="14"/>
    </row>
    <row r="195" spans="1:8" x14ac:dyDescent="0.3">
      <c r="A195" s="13"/>
      <c r="B195" s="16">
        <f>IF($A195=InvestorTable[[#This Row],[Investor Tally '#]],InvestorTable[[#This Row],[Investor Name]], NA())</f>
        <v>0</v>
      </c>
      <c r="C195" s="14"/>
      <c r="D195" s="17" t="e" cm="1">
        <f t="array" ref="D195">_xlfn.IFS(AND(InvestorTable[[#This Row],[Investor Tally '#]] = 'Payment Tracker'!$A195, 'Payment Tracker'!$C195="Dividend") = TRUE, InvestorTable[[#This Row],[Monthly ROI (₦)]], AND(InvestorTable[[#This Row],[Investor Tally '#]] = 'Payment Tracker'!$A195, 'Payment Tracker'!$C195="Capital") = TRUE, InvestorTable[[#This Row],[Investment Capital (₦)]], AND(InvestorTable[[#This Row],[Investor Tally '#]] = 'Payment Tracker'!$A195, 'Payment Tracker'!$C195="Refund") = TRUE, InvestorTable[[#This Row],[Investment Capital (₦)]] )</f>
        <v>#N/A</v>
      </c>
      <c r="E195" s="15"/>
      <c r="F195" s="14"/>
      <c r="G195" s="14"/>
      <c r="H195" s="14"/>
    </row>
    <row r="196" spans="1:8" x14ac:dyDescent="0.3">
      <c r="A196" s="13"/>
      <c r="B196" s="16">
        <f>IF($A196=InvestorTable[[#This Row],[Investor Tally '#]],InvestorTable[[#This Row],[Investor Name]], NA())</f>
        <v>0</v>
      </c>
      <c r="C196" s="14"/>
      <c r="D196" s="17" t="e" cm="1">
        <f t="array" ref="D196">_xlfn.IFS(AND(InvestorTable[[#This Row],[Investor Tally '#]] = 'Payment Tracker'!$A196, 'Payment Tracker'!$C196="Dividend") = TRUE, InvestorTable[[#This Row],[Monthly ROI (₦)]], AND(InvestorTable[[#This Row],[Investor Tally '#]] = 'Payment Tracker'!$A196, 'Payment Tracker'!$C196="Capital") = TRUE, InvestorTable[[#This Row],[Investment Capital (₦)]], AND(InvestorTable[[#This Row],[Investor Tally '#]] = 'Payment Tracker'!$A196, 'Payment Tracker'!$C196="Refund") = TRUE, InvestorTable[[#This Row],[Investment Capital (₦)]] )</f>
        <v>#N/A</v>
      </c>
      <c r="E196" s="15"/>
      <c r="F196" s="14"/>
      <c r="G196" s="14"/>
      <c r="H196" s="14"/>
    </row>
    <row r="197" spans="1:8" x14ac:dyDescent="0.3">
      <c r="A197" s="13"/>
      <c r="B197" s="16">
        <f>IF($A197=InvestorTable[[#This Row],[Investor Tally '#]],InvestorTable[[#This Row],[Investor Name]], NA())</f>
        <v>0</v>
      </c>
      <c r="C197" s="14"/>
      <c r="D197" s="17" t="e" cm="1">
        <f t="array" ref="D197">_xlfn.IFS(AND(InvestorTable[[#This Row],[Investor Tally '#]] = 'Payment Tracker'!$A197, 'Payment Tracker'!$C197="Dividend") = TRUE, InvestorTable[[#This Row],[Monthly ROI (₦)]], AND(InvestorTable[[#This Row],[Investor Tally '#]] = 'Payment Tracker'!$A197, 'Payment Tracker'!$C197="Capital") = TRUE, InvestorTable[[#This Row],[Investment Capital (₦)]], AND(InvestorTable[[#This Row],[Investor Tally '#]] = 'Payment Tracker'!$A197, 'Payment Tracker'!$C197="Refund") = TRUE, InvestorTable[[#This Row],[Investment Capital (₦)]] )</f>
        <v>#N/A</v>
      </c>
      <c r="E197" s="15"/>
      <c r="F197" s="14"/>
      <c r="G197" s="14"/>
      <c r="H197" s="14"/>
    </row>
    <row r="198" spans="1:8" x14ac:dyDescent="0.3">
      <c r="A198" s="13"/>
      <c r="B198" s="16">
        <f>IF($A198=InvestorTable[[#This Row],[Investor Tally '#]],InvestorTable[[#This Row],[Investor Name]], NA())</f>
        <v>0</v>
      </c>
      <c r="C198" s="14"/>
      <c r="D198" s="17" t="e" cm="1">
        <f t="array" ref="D198">_xlfn.IFS(AND(InvestorTable[[#This Row],[Investor Tally '#]] = 'Payment Tracker'!$A198, 'Payment Tracker'!$C198="Dividend") = TRUE, InvestorTable[[#This Row],[Monthly ROI (₦)]], AND(InvestorTable[[#This Row],[Investor Tally '#]] = 'Payment Tracker'!$A198, 'Payment Tracker'!$C198="Capital") = TRUE, InvestorTable[[#This Row],[Investment Capital (₦)]], AND(InvestorTable[[#This Row],[Investor Tally '#]] = 'Payment Tracker'!$A198, 'Payment Tracker'!$C198="Refund") = TRUE, InvestorTable[[#This Row],[Investment Capital (₦)]] )</f>
        <v>#N/A</v>
      </c>
      <c r="E198" s="15"/>
      <c r="F198" s="14"/>
      <c r="G198" s="14"/>
      <c r="H198" s="14"/>
    </row>
    <row r="199" spans="1:8" x14ac:dyDescent="0.3">
      <c r="A199" s="13"/>
      <c r="B199" s="16">
        <f>IF($A199=InvestorTable[[#This Row],[Investor Tally '#]],InvestorTable[[#This Row],[Investor Name]], NA())</f>
        <v>0</v>
      </c>
      <c r="C199" s="14"/>
      <c r="D199" s="17" t="e" cm="1">
        <f t="array" ref="D199">_xlfn.IFS(AND(InvestorTable[[#This Row],[Investor Tally '#]] = 'Payment Tracker'!$A199, 'Payment Tracker'!$C199="Dividend") = TRUE, InvestorTable[[#This Row],[Monthly ROI (₦)]], AND(InvestorTable[[#This Row],[Investor Tally '#]] = 'Payment Tracker'!$A199, 'Payment Tracker'!$C199="Capital") = TRUE, InvestorTable[[#This Row],[Investment Capital (₦)]], AND(InvestorTable[[#This Row],[Investor Tally '#]] = 'Payment Tracker'!$A199, 'Payment Tracker'!$C199="Refund") = TRUE, InvestorTable[[#This Row],[Investment Capital (₦)]] )</f>
        <v>#N/A</v>
      </c>
      <c r="E199" s="15"/>
      <c r="F199" s="14"/>
      <c r="G199" s="14"/>
      <c r="H199" s="14"/>
    </row>
    <row r="200" spans="1:8" x14ac:dyDescent="0.3">
      <c r="A200" s="13"/>
      <c r="B200" s="16">
        <f>IF($A200=InvestorTable[[#This Row],[Investor Tally '#]],InvestorTable[[#This Row],[Investor Name]], NA())</f>
        <v>0</v>
      </c>
      <c r="C200" s="14"/>
      <c r="D200" s="17" t="e" cm="1">
        <f t="array" ref="D200">_xlfn.IFS(AND(InvestorTable[[#This Row],[Investor Tally '#]] = 'Payment Tracker'!$A200, 'Payment Tracker'!$C200="Dividend") = TRUE, InvestorTable[[#This Row],[Monthly ROI (₦)]], AND(InvestorTable[[#This Row],[Investor Tally '#]] = 'Payment Tracker'!$A200, 'Payment Tracker'!$C200="Capital") = TRUE, InvestorTable[[#This Row],[Investment Capital (₦)]], AND(InvestorTable[[#This Row],[Investor Tally '#]] = 'Payment Tracker'!$A200, 'Payment Tracker'!$C200="Refund") = TRUE, InvestorTable[[#This Row],[Investment Capital (₦)]] )</f>
        <v>#N/A</v>
      </c>
      <c r="E200" s="15"/>
      <c r="F200" s="14"/>
      <c r="G200" s="14"/>
      <c r="H200" s="14"/>
    </row>
    <row r="201" spans="1:8" x14ac:dyDescent="0.3">
      <c r="A201" s="13"/>
      <c r="B201" s="16">
        <f>IF($A201=InvestorTable[[#This Row],[Investor Tally '#]],InvestorTable[[#This Row],[Investor Name]], NA())</f>
        <v>0</v>
      </c>
      <c r="C201" s="14"/>
      <c r="D201" s="17" t="e" cm="1">
        <f t="array" ref="D201">_xlfn.IFS(AND(InvestorTable[[#This Row],[Investor Tally '#]] = 'Payment Tracker'!$A201, 'Payment Tracker'!$C201="Dividend") = TRUE, InvestorTable[[#This Row],[Monthly ROI (₦)]], AND(InvestorTable[[#This Row],[Investor Tally '#]] = 'Payment Tracker'!$A201, 'Payment Tracker'!$C201="Capital") = TRUE, InvestorTable[[#This Row],[Investment Capital (₦)]], AND(InvestorTable[[#This Row],[Investor Tally '#]] = 'Payment Tracker'!$A201, 'Payment Tracker'!$C201="Refund") = TRUE, InvestorTable[[#This Row],[Investment Capital (₦)]] )</f>
        <v>#N/A</v>
      </c>
      <c r="E201" s="15"/>
      <c r="F201" s="14"/>
      <c r="G201" s="14"/>
      <c r="H201" s="14"/>
    </row>
    <row r="202" spans="1:8" x14ac:dyDescent="0.3">
      <c r="A202" s="13"/>
      <c r="B202" s="16">
        <f>IF($A202=InvestorTable[[#This Row],[Investor Tally '#]],InvestorTable[[#This Row],[Investor Name]], NA())</f>
        <v>0</v>
      </c>
      <c r="C202" s="14"/>
      <c r="D202" s="17" t="e" cm="1">
        <f t="array" ref="D202">_xlfn.IFS(AND(InvestorTable[[#This Row],[Investor Tally '#]] = 'Payment Tracker'!$A202, 'Payment Tracker'!$C202="Dividend") = TRUE, InvestorTable[[#This Row],[Monthly ROI (₦)]], AND(InvestorTable[[#This Row],[Investor Tally '#]] = 'Payment Tracker'!$A202, 'Payment Tracker'!$C202="Capital") = TRUE, InvestorTable[[#This Row],[Investment Capital (₦)]], AND(InvestorTable[[#This Row],[Investor Tally '#]] = 'Payment Tracker'!$A202, 'Payment Tracker'!$C202="Refund") = TRUE, InvestorTable[[#This Row],[Investment Capital (₦)]] )</f>
        <v>#N/A</v>
      </c>
      <c r="E202" s="15"/>
      <c r="F202" s="14"/>
      <c r="G202" s="14"/>
      <c r="H202" s="14"/>
    </row>
    <row r="203" spans="1:8" x14ac:dyDescent="0.3">
      <c r="A203" s="13"/>
      <c r="B203" s="16">
        <f>IF($A203=InvestorTable[[#This Row],[Investor Tally '#]],InvestorTable[[#This Row],[Investor Name]], NA())</f>
        <v>0</v>
      </c>
      <c r="C203" s="14"/>
      <c r="D203" s="17" t="e" cm="1">
        <f t="array" ref="D203">_xlfn.IFS(AND(InvestorTable[[#This Row],[Investor Tally '#]] = 'Payment Tracker'!$A203, 'Payment Tracker'!$C203="Dividend") = TRUE, InvestorTable[[#This Row],[Monthly ROI (₦)]], AND(InvestorTable[[#This Row],[Investor Tally '#]] = 'Payment Tracker'!$A203, 'Payment Tracker'!$C203="Capital") = TRUE, InvestorTable[[#This Row],[Investment Capital (₦)]], AND(InvestorTable[[#This Row],[Investor Tally '#]] = 'Payment Tracker'!$A203, 'Payment Tracker'!$C203="Refund") = TRUE, InvestorTable[[#This Row],[Investment Capital (₦)]] )</f>
        <v>#N/A</v>
      </c>
      <c r="E203" s="15"/>
      <c r="F203" s="14"/>
      <c r="G203" s="14"/>
      <c r="H203" s="14"/>
    </row>
    <row r="204" spans="1:8" x14ac:dyDescent="0.3">
      <c r="A204" s="13"/>
      <c r="B204" s="16">
        <f>IF($A204=InvestorTable[[#This Row],[Investor Tally '#]],InvestorTable[[#This Row],[Investor Name]], NA())</f>
        <v>0</v>
      </c>
      <c r="C204" s="14"/>
      <c r="D204" s="17" t="e" cm="1">
        <f t="array" ref="D204">_xlfn.IFS(AND(InvestorTable[[#This Row],[Investor Tally '#]] = 'Payment Tracker'!$A204, 'Payment Tracker'!$C204="Dividend") = TRUE, InvestorTable[[#This Row],[Monthly ROI (₦)]], AND(InvestorTable[[#This Row],[Investor Tally '#]] = 'Payment Tracker'!$A204, 'Payment Tracker'!$C204="Capital") = TRUE, InvestorTable[[#This Row],[Investment Capital (₦)]], AND(InvestorTable[[#This Row],[Investor Tally '#]] = 'Payment Tracker'!$A204, 'Payment Tracker'!$C204="Refund") = TRUE, InvestorTable[[#This Row],[Investment Capital (₦)]] )</f>
        <v>#N/A</v>
      </c>
      <c r="E204" s="15"/>
      <c r="F204" s="14"/>
      <c r="G204" s="14"/>
      <c r="H204" s="14"/>
    </row>
    <row r="205" spans="1:8" x14ac:dyDescent="0.3">
      <c r="A205" s="13"/>
      <c r="B205" s="16">
        <f>IF($A205=InvestorTable[[#This Row],[Investor Tally '#]],InvestorTable[[#This Row],[Investor Name]], NA())</f>
        <v>0</v>
      </c>
      <c r="C205" s="14"/>
      <c r="D205" s="17" t="e" cm="1">
        <f t="array" ref="D205">_xlfn.IFS(AND(InvestorTable[[#This Row],[Investor Tally '#]] = 'Payment Tracker'!$A205, 'Payment Tracker'!$C205="Dividend") = TRUE, InvestorTable[[#This Row],[Monthly ROI (₦)]], AND(InvestorTable[[#This Row],[Investor Tally '#]] = 'Payment Tracker'!$A205, 'Payment Tracker'!$C205="Capital") = TRUE, InvestorTable[[#This Row],[Investment Capital (₦)]], AND(InvestorTable[[#This Row],[Investor Tally '#]] = 'Payment Tracker'!$A205, 'Payment Tracker'!$C205="Refund") = TRUE, InvestorTable[[#This Row],[Investment Capital (₦)]] )</f>
        <v>#N/A</v>
      </c>
      <c r="E205" s="15"/>
      <c r="F205" s="14"/>
      <c r="G205" s="14"/>
      <c r="H205" s="14"/>
    </row>
    <row r="206" spans="1:8" x14ac:dyDescent="0.3">
      <c r="A206" s="13"/>
      <c r="B206" s="16">
        <f>IF($A206=InvestorTable[[#This Row],[Investor Tally '#]],InvestorTable[[#This Row],[Investor Name]], NA())</f>
        <v>0</v>
      </c>
      <c r="C206" s="14"/>
      <c r="D206" s="17" t="e" cm="1">
        <f t="array" ref="D206">_xlfn.IFS(AND(InvestorTable[[#This Row],[Investor Tally '#]] = 'Payment Tracker'!$A206, 'Payment Tracker'!$C206="Dividend") = TRUE, InvestorTable[[#This Row],[Monthly ROI (₦)]], AND(InvestorTable[[#This Row],[Investor Tally '#]] = 'Payment Tracker'!$A206, 'Payment Tracker'!$C206="Capital") = TRUE, InvestorTable[[#This Row],[Investment Capital (₦)]], AND(InvestorTable[[#This Row],[Investor Tally '#]] = 'Payment Tracker'!$A206, 'Payment Tracker'!$C206="Refund") = TRUE, InvestorTable[[#This Row],[Investment Capital (₦)]] )</f>
        <v>#N/A</v>
      </c>
      <c r="E206" s="15"/>
      <c r="F206" s="14"/>
      <c r="G206" s="14"/>
      <c r="H206" s="14"/>
    </row>
    <row r="207" spans="1:8" x14ac:dyDescent="0.3">
      <c r="A207" s="13"/>
      <c r="B207" s="16">
        <f>IF($A207=InvestorTable[[#This Row],[Investor Tally '#]],InvestorTable[[#This Row],[Investor Name]], NA())</f>
        <v>0</v>
      </c>
      <c r="C207" s="14"/>
      <c r="D207" s="17" t="e" cm="1">
        <f t="array" ref="D207">_xlfn.IFS(AND(InvestorTable[[#This Row],[Investor Tally '#]] = 'Payment Tracker'!$A207, 'Payment Tracker'!$C207="Dividend") = TRUE, InvestorTable[[#This Row],[Monthly ROI (₦)]], AND(InvestorTable[[#This Row],[Investor Tally '#]] = 'Payment Tracker'!$A207, 'Payment Tracker'!$C207="Capital") = TRUE, InvestorTable[[#This Row],[Investment Capital (₦)]], AND(InvestorTable[[#This Row],[Investor Tally '#]] = 'Payment Tracker'!$A207, 'Payment Tracker'!$C207="Refund") = TRUE, InvestorTable[[#This Row],[Investment Capital (₦)]] )</f>
        <v>#N/A</v>
      </c>
      <c r="E207" s="15"/>
      <c r="F207" s="14"/>
      <c r="G207" s="14"/>
      <c r="H207" s="14"/>
    </row>
    <row r="208" spans="1:8" x14ac:dyDescent="0.3">
      <c r="A208" s="13"/>
      <c r="B208" s="16">
        <f>IF($A208=InvestorTable[[#This Row],[Investor Tally '#]],InvestorTable[[#This Row],[Investor Name]], NA())</f>
        <v>0</v>
      </c>
      <c r="C208" s="14"/>
      <c r="D208" s="17" t="e" cm="1">
        <f t="array" ref="D208">_xlfn.IFS(AND(InvestorTable[[#This Row],[Investor Tally '#]] = 'Payment Tracker'!$A208, 'Payment Tracker'!$C208="Dividend") = TRUE, InvestorTable[[#This Row],[Monthly ROI (₦)]], AND(InvestorTable[[#This Row],[Investor Tally '#]] = 'Payment Tracker'!$A208, 'Payment Tracker'!$C208="Capital") = TRUE, InvestorTable[[#This Row],[Investment Capital (₦)]], AND(InvestorTable[[#This Row],[Investor Tally '#]] = 'Payment Tracker'!$A208, 'Payment Tracker'!$C208="Refund") = TRUE, InvestorTable[[#This Row],[Investment Capital (₦)]] )</f>
        <v>#N/A</v>
      </c>
      <c r="E208" s="15"/>
      <c r="F208" s="14"/>
      <c r="G208" s="14"/>
      <c r="H208" s="14"/>
    </row>
    <row r="209" spans="1:8" x14ac:dyDescent="0.3">
      <c r="A209" s="13"/>
      <c r="B209" s="16">
        <f>IF($A209=InvestorTable[[#This Row],[Investor Tally '#]],InvestorTable[[#This Row],[Investor Name]], NA())</f>
        <v>0</v>
      </c>
      <c r="C209" s="14"/>
      <c r="D209" s="17" t="e" cm="1">
        <f t="array" ref="D209">_xlfn.IFS(AND(InvestorTable[[#This Row],[Investor Tally '#]] = 'Payment Tracker'!$A209, 'Payment Tracker'!$C209="Dividend") = TRUE, InvestorTable[[#This Row],[Monthly ROI (₦)]], AND(InvestorTable[[#This Row],[Investor Tally '#]] = 'Payment Tracker'!$A209, 'Payment Tracker'!$C209="Capital") = TRUE, InvestorTable[[#This Row],[Investment Capital (₦)]], AND(InvestorTable[[#This Row],[Investor Tally '#]] = 'Payment Tracker'!$A209, 'Payment Tracker'!$C209="Refund") = TRUE, InvestorTable[[#This Row],[Investment Capital (₦)]] )</f>
        <v>#N/A</v>
      </c>
      <c r="E209" s="15"/>
      <c r="F209" s="14"/>
      <c r="G209" s="14"/>
      <c r="H209" s="14"/>
    </row>
    <row r="210" spans="1:8" x14ac:dyDescent="0.3">
      <c r="A210" s="13"/>
      <c r="B210" s="16">
        <f>IF($A210=InvestorTable[[#This Row],[Investor Tally '#]],InvestorTable[[#This Row],[Investor Name]], NA())</f>
        <v>0</v>
      </c>
      <c r="C210" s="14"/>
      <c r="D210" s="17" t="e" cm="1">
        <f t="array" ref="D210">_xlfn.IFS(AND(InvestorTable[[#This Row],[Investor Tally '#]] = 'Payment Tracker'!$A210, 'Payment Tracker'!$C210="Dividend") = TRUE, InvestorTable[[#This Row],[Monthly ROI (₦)]], AND(InvestorTable[[#This Row],[Investor Tally '#]] = 'Payment Tracker'!$A210, 'Payment Tracker'!$C210="Capital") = TRUE, InvestorTable[[#This Row],[Investment Capital (₦)]], AND(InvestorTable[[#This Row],[Investor Tally '#]] = 'Payment Tracker'!$A210, 'Payment Tracker'!$C210="Refund") = TRUE, InvestorTable[[#This Row],[Investment Capital (₦)]] )</f>
        <v>#N/A</v>
      </c>
      <c r="E210" s="15"/>
      <c r="F210" s="14"/>
      <c r="G210" s="14"/>
      <c r="H210" s="14"/>
    </row>
    <row r="211" spans="1:8" x14ac:dyDescent="0.3">
      <c r="A211" s="13"/>
      <c r="B211" s="16">
        <f>IF($A211=InvestorTable[[#This Row],[Investor Tally '#]],InvestorTable[[#This Row],[Investor Name]], NA())</f>
        <v>0</v>
      </c>
      <c r="C211" s="14"/>
      <c r="D211" s="17" t="e" cm="1">
        <f t="array" ref="D211">_xlfn.IFS(AND(InvestorTable[[#This Row],[Investor Tally '#]] = 'Payment Tracker'!$A211, 'Payment Tracker'!$C211="Dividend") = TRUE, InvestorTable[[#This Row],[Monthly ROI (₦)]], AND(InvestorTable[[#This Row],[Investor Tally '#]] = 'Payment Tracker'!$A211, 'Payment Tracker'!$C211="Capital") = TRUE, InvestorTable[[#This Row],[Investment Capital (₦)]], AND(InvestorTable[[#This Row],[Investor Tally '#]] = 'Payment Tracker'!$A211, 'Payment Tracker'!$C211="Refund") = TRUE, InvestorTable[[#This Row],[Investment Capital (₦)]] )</f>
        <v>#N/A</v>
      </c>
      <c r="E211" s="15"/>
      <c r="F211" s="14"/>
      <c r="G211" s="14"/>
      <c r="H211" s="14"/>
    </row>
    <row r="212" spans="1:8" x14ac:dyDescent="0.3">
      <c r="A212" s="13"/>
      <c r="B212" s="16">
        <f>IF($A212=InvestorTable[[#This Row],[Investor Tally '#]],InvestorTable[[#This Row],[Investor Name]], NA())</f>
        <v>0</v>
      </c>
      <c r="C212" s="14"/>
      <c r="D212" s="17" t="e" cm="1">
        <f t="array" ref="D212">_xlfn.IFS(AND(InvestorTable[[#This Row],[Investor Tally '#]] = 'Payment Tracker'!$A212, 'Payment Tracker'!$C212="Dividend") = TRUE, InvestorTable[[#This Row],[Monthly ROI (₦)]], AND(InvestorTable[[#This Row],[Investor Tally '#]] = 'Payment Tracker'!$A212, 'Payment Tracker'!$C212="Capital") = TRUE, InvestorTable[[#This Row],[Investment Capital (₦)]], AND(InvestorTable[[#This Row],[Investor Tally '#]] = 'Payment Tracker'!$A212, 'Payment Tracker'!$C212="Refund") = TRUE, InvestorTable[[#This Row],[Investment Capital (₦)]] )</f>
        <v>#N/A</v>
      </c>
      <c r="E212" s="15"/>
      <c r="F212" s="14"/>
      <c r="G212" s="14"/>
      <c r="H212" s="14"/>
    </row>
    <row r="213" spans="1:8" x14ac:dyDescent="0.3">
      <c r="A213" s="13"/>
      <c r="B213" s="16">
        <f>IF($A213=InvestorTable[[#This Row],[Investor Tally '#]],InvestorTable[[#This Row],[Investor Name]], NA())</f>
        <v>0</v>
      </c>
      <c r="C213" s="14"/>
      <c r="D213" s="17" t="e" cm="1">
        <f t="array" ref="D213">_xlfn.IFS(AND(InvestorTable[[#This Row],[Investor Tally '#]] = 'Payment Tracker'!$A213, 'Payment Tracker'!$C213="Dividend") = TRUE, InvestorTable[[#This Row],[Monthly ROI (₦)]], AND(InvestorTable[[#This Row],[Investor Tally '#]] = 'Payment Tracker'!$A213, 'Payment Tracker'!$C213="Capital") = TRUE, InvestorTable[[#This Row],[Investment Capital (₦)]], AND(InvestorTable[[#This Row],[Investor Tally '#]] = 'Payment Tracker'!$A213, 'Payment Tracker'!$C213="Refund") = TRUE, InvestorTable[[#This Row],[Investment Capital (₦)]] )</f>
        <v>#N/A</v>
      </c>
      <c r="E213" s="15"/>
      <c r="F213" s="14"/>
      <c r="G213" s="14"/>
      <c r="H213" s="14"/>
    </row>
    <row r="214" spans="1:8" x14ac:dyDescent="0.3">
      <c r="A214" s="13"/>
      <c r="B214" s="16">
        <f>IF($A214=InvestorTable[[#This Row],[Investor Tally '#]],InvestorTable[[#This Row],[Investor Name]], NA())</f>
        <v>0</v>
      </c>
      <c r="C214" s="14"/>
      <c r="D214" s="17" t="e" cm="1">
        <f t="array" ref="D214">_xlfn.IFS(AND(InvestorTable[[#This Row],[Investor Tally '#]] = 'Payment Tracker'!$A214, 'Payment Tracker'!$C214="Dividend") = TRUE, InvestorTable[[#This Row],[Monthly ROI (₦)]], AND(InvestorTable[[#This Row],[Investor Tally '#]] = 'Payment Tracker'!$A214, 'Payment Tracker'!$C214="Capital") = TRUE, InvestorTable[[#This Row],[Investment Capital (₦)]], AND(InvestorTable[[#This Row],[Investor Tally '#]] = 'Payment Tracker'!$A214, 'Payment Tracker'!$C214="Refund") = TRUE, InvestorTable[[#This Row],[Investment Capital (₦)]] )</f>
        <v>#N/A</v>
      </c>
      <c r="E214" s="15"/>
      <c r="F214" s="14"/>
      <c r="G214" s="14"/>
      <c r="H214" s="14"/>
    </row>
    <row r="215" spans="1:8" x14ac:dyDescent="0.3">
      <c r="A215" s="13"/>
      <c r="B215" s="16">
        <f>IF($A215=InvestorTable[[#This Row],[Investor Tally '#]],InvestorTable[[#This Row],[Investor Name]], NA())</f>
        <v>0</v>
      </c>
      <c r="C215" s="14"/>
      <c r="D215" s="17" t="e" cm="1">
        <f t="array" ref="D215">_xlfn.IFS(AND(InvestorTable[[#This Row],[Investor Tally '#]] = 'Payment Tracker'!$A215, 'Payment Tracker'!$C215="Dividend") = TRUE, InvestorTable[[#This Row],[Monthly ROI (₦)]], AND(InvestorTable[[#This Row],[Investor Tally '#]] = 'Payment Tracker'!$A215, 'Payment Tracker'!$C215="Capital") = TRUE, InvestorTable[[#This Row],[Investment Capital (₦)]], AND(InvestorTable[[#This Row],[Investor Tally '#]] = 'Payment Tracker'!$A215, 'Payment Tracker'!$C215="Refund") = TRUE, InvestorTable[[#This Row],[Investment Capital (₦)]] )</f>
        <v>#N/A</v>
      </c>
      <c r="E215" s="15"/>
      <c r="F215" s="14"/>
      <c r="G215" s="14"/>
      <c r="H215" s="14"/>
    </row>
    <row r="216" spans="1:8" x14ac:dyDescent="0.3">
      <c r="A216" s="13"/>
      <c r="B216" s="16">
        <f>IF($A216=InvestorTable[[#This Row],[Investor Tally '#]],InvestorTable[[#This Row],[Investor Name]], NA())</f>
        <v>0</v>
      </c>
      <c r="C216" s="14"/>
      <c r="D216" s="17" t="e" cm="1">
        <f t="array" ref="D216">_xlfn.IFS(AND(InvestorTable[[#This Row],[Investor Tally '#]] = 'Payment Tracker'!$A216, 'Payment Tracker'!$C216="Dividend") = TRUE, InvestorTable[[#This Row],[Monthly ROI (₦)]], AND(InvestorTable[[#This Row],[Investor Tally '#]] = 'Payment Tracker'!$A216, 'Payment Tracker'!$C216="Capital") = TRUE, InvestorTable[[#This Row],[Investment Capital (₦)]], AND(InvestorTable[[#This Row],[Investor Tally '#]] = 'Payment Tracker'!$A216, 'Payment Tracker'!$C216="Refund") = TRUE, InvestorTable[[#This Row],[Investment Capital (₦)]] )</f>
        <v>#N/A</v>
      </c>
      <c r="E216" s="15"/>
      <c r="F216" s="14"/>
      <c r="G216" s="14"/>
      <c r="H216" s="14"/>
    </row>
    <row r="217" spans="1:8" x14ac:dyDescent="0.3">
      <c r="A217" s="13"/>
      <c r="B217" s="16">
        <f>IF($A217=InvestorTable[[#This Row],[Investor Tally '#]],InvestorTable[[#This Row],[Investor Name]], NA())</f>
        <v>0</v>
      </c>
      <c r="C217" s="14"/>
      <c r="D217" s="17" t="e" cm="1">
        <f t="array" ref="D217">_xlfn.IFS(AND(InvestorTable[[#This Row],[Investor Tally '#]] = 'Payment Tracker'!$A217, 'Payment Tracker'!$C217="Dividend") = TRUE, InvestorTable[[#This Row],[Monthly ROI (₦)]], AND(InvestorTable[[#This Row],[Investor Tally '#]] = 'Payment Tracker'!$A217, 'Payment Tracker'!$C217="Capital") = TRUE, InvestorTable[[#This Row],[Investment Capital (₦)]], AND(InvestorTable[[#This Row],[Investor Tally '#]] = 'Payment Tracker'!$A217, 'Payment Tracker'!$C217="Refund") = TRUE, InvestorTable[[#This Row],[Investment Capital (₦)]] )</f>
        <v>#N/A</v>
      </c>
      <c r="E217" s="15"/>
      <c r="F217" s="14"/>
      <c r="G217" s="14"/>
      <c r="H217" s="14"/>
    </row>
    <row r="218" spans="1:8" x14ac:dyDescent="0.3">
      <c r="A218" s="13"/>
      <c r="B218" s="16">
        <f>IF($A218=InvestorTable[[#This Row],[Investor Tally '#]],InvestorTable[[#This Row],[Investor Name]], NA())</f>
        <v>0</v>
      </c>
      <c r="C218" s="14"/>
      <c r="D218" s="17" t="e" cm="1">
        <f t="array" ref="D218">_xlfn.IFS(AND(InvestorTable[[#This Row],[Investor Tally '#]] = 'Payment Tracker'!$A218, 'Payment Tracker'!$C218="Dividend") = TRUE, InvestorTable[[#This Row],[Monthly ROI (₦)]], AND(InvestorTable[[#This Row],[Investor Tally '#]] = 'Payment Tracker'!$A218, 'Payment Tracker'!$C218="Capital") = TRUE, InvestorTable[[#This Row],[Investment Capital (₦)]], AND(InvestorTable[[#This Row],[Investor Tally '#]] = 'Payment Tracker'!$A218, 'Payment Tracker'!$C218="Refund") = TRUE, InvestorTable[[#This Row],[Investment Capital (₦)]] )</f>
        <v>#N/A</v>
      </c>
      <c r="E218" s="15"/>
      <c r="F218" s="14"/>
      <c r="G218" s="14"/>
      <c r="H218" s="14"/>
    </row>
    <row r="219" spans="1:8" x14ac:dyDescent="0.3">
      <c r="A219" s="13"/>
      <c r="B219" s="16">
        <f>IF($A219=InvestorTable[[#This Row],[Investor Tally '#]],InvestorTable[[#This Row],[Investor Name]], NA())</f>
        <v>0</v>
      </c>
      <c r="C219" s="14"/>
      <c r="D219" s="17" t="e" cm="1">
        <f t="array" ref="D219">_xlfn.IFS(AND(InvestorTable[[#This Row],[Investor Tally '#]] = 'Payment Tracker'!$A219, 'Payment Tracker'!$C219="Dividend") = TRUE, InvestorTable[[#This Row],[Monthly ROI (₦)]], AND(InvestorTable[[#This Row],[Investor Tally '#]] = 'Payment Tracker'!$A219, 'Payment Tracker'!$C219="Capital") = TRUE, InvestorTable[[#This Row],[Investment Capital (₦)]], AND(InvestorTable[[#This Row],[Investor Tally '#]] = 'Payment Tracker'!$A219, 'Payment Tracker'!$C219="Refund") = TRUE, InvestorTable[[#This Row],[Investment Capital (₦)]] )</f>
        <v>#N/A</v>
      </c>
      <c r="E219" s="15"/>
      <c r="F219" s="14"/>
      <c r="G219" s="14"/>
      <c r="H219" s="14"/>
    </row>
    <row r="220" spans="1:8" x14ac:dyDescent="0.3">
      <c r="A220" s="13"/>
      <c r="B220" s="16">
        <f>IF($A220=InvestorTable[[#This Row],[Investor Tally '#]],InvestorTable[[#This Row],[Investor Name]], NA())</f>
        <v>0</v>
      </c>
      <c r="C220" s="14"/>
      <c r="D220" s="17" t="e" cm="1">
        <f t="array" ref="D220">_xlfn.IFS(AND(InvestorTable[[#This Row],[Investor Tally '#]] = 'Payment Tracker'!$A220, 'Payment Tracker'!$C220="Dividend") = TRUE, InvestorTable[[#This Row],[Monthly ROI (₦)]], AND(InvestorTable[[#This Row],[Investor Tally '#]] = 'Payment Tracker'!$A220, 'Payment Tracker'!$C220="Capital") = TRUE, InvestorTable[[#This Row],[Investment Capital (₦)]], AND(InvestorTable[[#This Row],[Investor Tally '#]] = 'Payment Tracker'!$A220, 'Payment Tracker'!$C220="Refund") = TRUE, InvestorTable[[#This Row],[Investment Capital (₦)]] )</f>
        <v>#N/A</v>
      </c>
      <c r="E220" s="15"/>
      <c r="F220" s="14"/>
      <c r="G220" s="14"/>
      <c r="H220" s="14"/>
    </row>
    <row r="221" spans="1:8" x14ac:dyDescent="0.3">
      <c r="A221" s="13"/>
      <c r="B221" s="16">
        <f>IF($A221=InvestorTable[[#This Row],[Investor Tally '#]],InvestorTable[[#This Row],[Investor Name]], NA())</f>
        <v>0</v>
      </c>
      <c r="C221" s="14"/>
      <c r="D221" s="17" t="e" cm="1">
        <f t="array" ref="D221">_xlfn.IFS(AND(InvestorTable[[#This Row],[Investor Tally '#]] = 'Payment Tracker'!$A221, 'Payment Tracker'!$C221="Dividend") = TRUE, InvestorTable[[#This Row],[Monthly ROI (₦)]], AND(InvestorTable[[#This Row],[Investor Tally '#]] = 'Payment Tracker'!$A221, 'Payment Tracker'!$C221="Capital") = TRUE, InvestorTable[[#This Row],[Investment Capital (₦)]], AND(InvestorTable[[#This Row],[Investor Tally '#]] = 'Payment Tracker'!$A221, 'Payment Tracker'!$C221="Refund") = TRUE, InvestorTable[[#This Row],[Investment Capital (₦)]] )</f>
        <v>#N/A</v>
      </c>
      <c r="E221" s="15"/>
      <c r="F221" s="14"/>
      <c r="G221" s="14"/>
      <c r="H221" s="14"/>
    </row>
    <row r="222" spans="1:8" x14ac:dyDescent="0.3">
      <c r="A222" s="13"/>
      <c r="B222" s="16">
        <f>IF($A222=InvestorTable[[#This Row],[Investor Tally '#]],InvestorTable[[#This Row],[Investor Name]], NA())</f>
        <v>0</v>
      </c>
      <c r="C222" s="14"/>
      <c r="D222" s="17" t="e" cm="1">
        <f t="array" ref="D222">_xlfn.IFS(AND(InvestorTable[[#This Row],[Investor Tally '#]] = 'Payment Tracker'!$A222, 'Payment Tracker'!$C222="Dividend") = TRUE, InvestorTable[[#This Row],[Monthly ROI (₦)]], AND(InvestorTable[[#This Row],[Investor Tally '#]] = 'Payment Tracker'!$A222, 'Payment Tracker'!$C222="Capital") = TRUE, InvestorTable[[#This Row],[Investment Capital (₦)]], AND(InvestorTable[[#This Row],[Investor Tally '#]] = 'Payment Tracker'!$A222, 'Payment Tracker'!$C222="Refund") = TRUE, InvestorTable[[#This Row],[Investment Capital (₦)]] )</f>
        <v>#N/A</v>
      </c>
      <c r="E222" s="15"/>
      <c r="F222" s="14"/>
      <c r="G222" s="14"/>
      <c r="H222" s="14"/>
    </row>
    <row r="223" spans="1:8" x14ac:dyDescent="0.3">
      <c r="A223" s="13"/>
      <c r="B223" s="16">
        <f>IF($A223=InvestorTable[[#This Row],[Investor Tally '#]],InvestorTable[[#This Row],[Investor Name]], NA())</f>
        <v>0</v>
      </c>
      <c r="C223" s="14"/>
      <c r="D223" s="17" t="e" cm="1">
        <f t="array" ref="D223">_xlfn.IFS(AND(InvestorTable[[#This Row],[Investor Tally '#]] = 'Payment Tracker'!$A223, 'Payment Tracker'!$C223="Dividend") = TRUE, InvestorTable[[#This Row],[Monthly ROI (₦)]], AND(InvestorTable[[#This Row],[Investor Tally '#]] = 'Payment Tracker'!$A223, 'Payment Tracker'!$C223="Capital") = TRUE, InvestorTable[[#This Row],[Investment Capital (₦)]], AND(InvestorTable[[#This Row],[Investor Tally '#]] = 'Payment Tracker'!$A223, 'Payment Tracker'!$C223="Refund") = TRUE, InvestorTable[[#This Row],[Investment Capital (₦)]] )</f>
        <v>#N/A</v>
      </c>
      <c r="E223" s="15"/>
      <c r="F223" s="14"/>
      <c r="G223" s="14"/>
      <c r="H223" s="14"/>
    </row>
    <row r="224" spans="1:8" x14ac:dyDescent="0.3">
      <c r="A224" s="13"/>
      <c r="B224" s="16">
        <f>IF($A224=InvestorTable[[#This Row],[Investor Tally '#]],InvestorTable[[#This Row],[Investor Name]], NA())</f>
        <v>0</v>
      </c>
      <c r="C224" s="14"/>
      <c r="D224" s="17" t="e" cm="1">
        <f t="array" ref="D224">_xlfn.IFS(AND(InvestorTable[[#This Row],[Investor Tally '#]] = 'Payment Tracker'!$A224, 'Payment Tracker'!$C224="Dividend") = TRUE, InvestorTable[[#This Row],[Monthly ROI (₦)]], AND(InvestorTable[[#This Row],[Investor Tally '#]] = 'Payment Tracker'!$A224, 'Payment Tracker'!$C224="Capital") = TRUE, InvestorTable[[#This Row],[Investment Capital (₦)]], AND(InvestorTable[[#This Row],[Investor Tally '#]] = 'Payment Tracker'!$A224, 'Payment Tracker'!$C224="Refund") = TRUE, InvestorTable[[#This Row],[Investment Capital (₦)]] )</f>
        <v>#N/A</v>
      </c>
      <c r="E224" s="15"/>
      <c r="F224" s="14"/>
      <c r="G224" s="14"/>
      <c r="H224" s="14"/>
    </row>
    <row r="225" spans="1:8" x14ac:dyDescent="0.3">
      <c r="A225" s="13"/>
      <c r="B225" s="16">
        <f>IF($A225=InvestorTable[[#This Row],[Investor Tally '#]],InvestorTable[[#This Row],[Investor Name]], NA())</f>
        <v>0</v>
      </c>
      <c r="C225" s="14"/>
      <c r="D225" s="17" t="e" cm="1">
        <f t="array" ref="D225">_xlfn.IFS(AND(InvestorTable[[#This Row],[Investor Tally '#]] = 'Payment Tracker'!$A225, 'Payment Tracker'!$C225="Dividend") = TRUE, InvestorTable[[#This Row],[Monthly ROI (₦)]], AND(InvestorTable[[#This Row],[Investor Tally '#]] = 'Payment Tracker'!$A225, 'Payment Tracker'!$C225="Capital") = TRUE, InvestorTable[[#This Row],[Investment Capital (₦)]], AND(InvestorTable[[#This Row],[Investor Tally '#]] = 'Payment Tracker'!$A225, 'Payment Tracker'!$C225="Refund") = TRUE, InvestorTable[[#This Row],[Investment Capital (₦)]] )</f>
        <v>#N/A</v>
      </c>
      <c r="E225" s="15"/>
      <c r="F225" s="14"/>
      <c r="G225" s="14"/>
      <c r="H225" s="14"/>
    </row>
    <row r="226" spans="1:8" x14ac:dyDescent="0.3">
      <c r="A226" s="13"/>
      <c r="B226" s="16">
        <f>IF($A226=InvestorTable[[#This Row],[Investor Tally '#]],InvestorTable[[#This Row],[Investor Name]], NA())</f>
        <v>0</v>
      </c>
      <c r="C226" s="14"/>
      <c r="D226" s="17" t="e" cm="1">
        <f t="array" ref="D226">_xlfn.IFS(AND(InvestorTable[[#This Row],[Investor Tally '#]] = 'Payment Tracker'!$A226, 'Payment Tracker'!$C226="Dividend") = TRUE, InvestorTable[[#This Row],[Monthly ROI (₦)]], AND(InvestorTable[[#This Row],[Investor Tally '#]] = 'Payment Tracker'!$A226, 'Payment Tracker'!$C226="Capital") = TRUE, InvestorTable[[#This Row],[Investment Capital (₦)]], AND(InvestorTable[[#This Row],[Investor Tally '#]] = 'Payment Tracker'!$A226, 'Payment Tracker'!$C226="Refund") = TRUE, InvestorTable[[#This Row],[Investment Capital (₦)]] )</f>
        <v>#N/A</v>
      </c>
      <c r="E226" s="15"/>
      <c r="F226" s="14"/>
      <c r="G226" s="14"/>
      <c r="H226" s="14"/>
    </row>
    <row r="227" spans="1:8" x14ac:dyDescent="0.3">
      <c r="A227" s="13"/>
      <c r="B227" s="16">
        <f>IF($A227=InvestorTable[[#This Row],[Investor Tally '#]],InvestorTable[[#This Row],[Investor Name]], NA())</f>
        <v>0</v>
      </c>
      <c r="C227" s="14"/>
      <c r="D227" s="17" t="e" cm="1">
        <f t="array" ref="D227">_xlfn.IFS(AND(InvestorTable[[#This Row],[Investor Tally '#]] = 'Payment Tracker'!$A227, 'Payment Tracker'!$C227="Dividend") = TRUE, InvestorTable[[#This Row],[Monthly ROI (₦)]], AND(InvestorTable[[#This Row],[Investor Tally '#]] = 'Payment Tracker'!$A227, 'Payment Tracker'!$C227="Capital") = TRUE, InvestorTable[[#This Row],[Investment Capital (₦)]], AND(InvestorTable[[#This Row],[Investor Tally '#]] = 'Payment Tracker'!$A227, 'Payment Tracker'!$C227="Refund") = TRUE, InvestorTable[[#This Row],[Investment Capital (₦)]] )</f>
        <v>#N/A</v>
      </c>
      <c r="E227" s="15"/>
      <c r="F227" s="14"/>
      <c r="G227" s="14"/>
      <c r="H227" s="14"/>
    </row>
    <row r="228" spans="1:8" x14ac:dyDescent="0.3">
      <c r="A228" s="13"/>
      <c r="B228" s="16">
        <f>IF($A228=InvestorTable[[#This Row],[Investor Tally '#]],InvestorTable[[#This Row],[Investor Name]], NA())</f>
        <v>0</v>
      </c>
      <c r="C228" s="14"/>
      <c r="D228" s="17" t="e" cm="1">
        <f t="array" ref="D228">_xlfn.IFS(AND(InvestorTable[[#This Row],[Investor Tally '#]] = 'Payment Tracker'!$A228, 'Payment Tracker'!$C228="Dividend") = TRUE, InvestorTable[[#This Row],[Monthly ROI (₦)]], AND(InvestorTable[[#This Row],[Investor Tally '#]] = 'Payment Tracker'!$A228, 'Payment Tracker'!$C228="Capital") = TRUE, InvestorTable[[#This Row],[Investment Capital (₦)]], AND(InvestorTable[[#This Row],[Investor Tally '#]] = 'Payment Tracker'!$A228, 'Payment Tracker'!$C228="Refund") = TRUE, InvestorTable[[#This Row],[Investment Capital (₦)]] )</f>
        <v>#N/A</v>
      </c>
      <c r="E228" s="15"/>
      <c r="F228" s="14"/>
      <c r="G228" s="14"/>
      <c r="H228" s="14"/>
    </row>
    <row r="229" spans="1:8" x14ac:dyDescent="0.3">
      <c r="A229" s="13"/>
      <c r="B229" s="16">
        <f>IF($A229=InvestorTable[[#This Row],[Investor Tally '#]],InvestorTable[[#This Row],[Investor Name]], NA())</f>
        <v>0</v>
      </c>
      <c r="C229" s="14"/>
      <c r="D229" s="17" t="e" cm="1">
        <f t="array" ref="D229">_xlfn.IFS(AND(InvestorTable[[#This Row],[Investor Tally '#]] = 'Payment Tracker'!$A229, 'Payment Tracker'!$C229="Dividend") = TRUE, InvestorTable[[#This Row],[Monthly ROI (₦)]], AND(InvestorTable[[#This Row],[Investor Tally '#]] = 'Payment Tracker'!$A229, 'Payment Tracker'!$C229="Capital") = TRUE, InvestorTable[[#This Row],[Investment Capital (₦)]], AND(InvestorTable[[#This Row],[Investor Tally '#]] = 'Payment Tracker'!$A229, 'Payment Tracker'!$C229="Refund") = TRUE, InvestorTable[[#This Row],[Investment Capital (₦)]] )</f>
        <v>#N/A</v>
      </c>
      <c r="E229" s="15"/>
      <c r="F229" s="14"/>
      <c r="G229" s="14"/>
      <c r="H229" s="14"/>
    </row>
    <row r="230" spans="1:8" x14ac:dyDescent="0.3">
      <c r="A230" s="13"/>
      <c r="B230" s="16">
        <f>IF($A230=InvestorTable[[#This Row],[Investor Tally '#]],InvestorTable[[#This Row],[Investor Name]], NA())</f>
        <v>0</v>
      </c>
      <c r="C230" s="14"/>
      <c r="D230" s="17" t="e" cm="1">
        <f t="array" ref="D230">_xlfn.IFS(AND(InvestorTable[[#This Row],[Investor Tally '#]] = 'Payment Tracker'!$A230, 'Payment Tracker'!$C230="Dividend") = TRUE, InvestorTable[[#This Row],[Monthly ROI (₦)]], AND(InvestorTable[[#This Row],[Investor Tally '#]] = 'Payment Tracker'!$A230, 'Payment Tracker'!$C230="Capital") = TRUE, InvestorTable[[#This Row],[Investment Capital (₦)]], AND(InvestorTable[[#This Row],[Investor Tally '#]] = 'Payment Tracker'!$A230, 'Payment Tracker'!$C230="Refund") = TRUE, InvestorTable[[#This Row],[Investment Capital (₦)]] )</f>
        <v>#N/A</v>
      </c>
      <c r="E230" s="15"/>
      <c r="F230" s="14"/>
      <c r="G230" s="14"/>
      <c r="H230" s="14"/>
    </row>
    <row r="231" spans="1:8" x14ac:dyDescent="0.3">
      <c r="A231" s="13"/>
      <c r="B231" s="16">
        <f>IF($A231=InvestorTable[[#This Row],[Investor Tally '#]],InvestorTable[[#This Row],[Investor Name]], NA())</f>
        <v>0</v>
      </c>
      <c r="C231" s="14"/>
      <c r="D231" s="17" t="e" cm="1">
        <f t="array" ref="D231">_xlfn.IFS(AND(InvestorTable[[#This Row],[Investor Tally '#]] = 'Payment Tracker'!$A231, 'Payment Tracker'!$C231="Dividend") = TRUE, InvestorTable[[#This Row],[Monthly ROI (₦)]], AND(InvestorTable[[#This Row],[Investor Tally '#]] = 'Payment Tracker'!$A231, 'Payment Tracker'!$C231="Capital") = TRUE, InvestorTable[[#This Row],[Investment Capital (₦)]], AND(InvestorTable[[#This Row],[Investor Tally '#]] = 'Payment Tracker'!$A231, 'Payment Tracker'!$C231="Refund") = TRUE, InvestorTable[[#This Row],[Investment Capital (₦)]] )</f>
        <v>#N/A</v>
      </c>
      <c r="E231" s="15"/>
      <c r="F231" s="14"/>
      <c r="G231" s="14"/>
      <c r="H231" s="14"/>
    </row>
    <row r="232" spans="1:8" x14ac:dyDescent="0.3">
      <c r="A232" s="13"/>
      <c r="B232" s="16">
        <f>IF($A232=InvestorTable[[#This Row],[Investor Tally '#]],InvestorTable[[#This Row],[Investor Name]], NA())</f>
        <v>0</v>
      </c>
      <c r="C232" s="14"/>
      <c r="D232" s="17" t="e" cm="1">
        <f t="array" ref="D232">_xlfn.IFS(AND(InvestorTable[[#This Row],[Investor Tally '#]] = 'Payment Tracker'!$A232, 'Payment Tracker'!$C232="Dividend") = TRUE, InvestorTable[[#This Row],[Monthly ROI (₦)]], AND(InvestorTable[[#This Row],[Investor Tally '#]] = 'Payment Tracker'!$A232, 'Payment Tracker'!$C232="Capital") = TRUE, InvestorTable[[#This Row],[Investment Capital (₦)]], AND(InvestorTable[[#This Row],[Investor Tally '#]] = 'Payment Tracker'!$A232, 'Payment Tracker'!$C232="Refund") = TRUE, InvestorTable[[#This Row],[Investment Capital (₦)]] )</f>
        <v>#N/A</v>
      </c>
      <c r="E232" s="15"/>
      <c r="F232" s="14"/>
      <c r="G232" s="14"/>
      <c r="H232" s="14"/>
    </row>
    <row r="233" spans="1:8" x14ac:dyDescent="0.3">
      <c r="A233" s="13"/>
      <c r="B233" s="16">
        <f>IF($A233=InvestorTable[[#This Row],[Investor Tally '#]],InvestorTable[[#This Row],[Investor Name]], NA())</f>
        <v>0</v>
      </c>
      <c r="C233" s="14"/>
      <c r="D233" s="17" t="e" cm="1">
        <f t="array" ref="D233">_xlfn.IFS(AND(InvestorTable[[#This Row],[Investor Tally '#]] = 'Payment Tracker'!$A233, 'Payment Tracker'!$C233="Dividend") = TRUE, InvestorTable[[#This Row],[Monthly ROI (₦)]], AND(InvestorTable[[#This Row],[Investor Tally '#]] = 'Payment Tracker'!$A233, 'Payment Tracker'!$C233="Capital") = TRUE, InvestorTable[[#This Row],[Investment Capital (₦)]], AND(InvestorTable[[#This Row],[Investor Tally '#]] = 'Payment Tracker'!$A233, 'Payment Tracker'!$C233="Refund") = TRUE, InvestorTable[[#This Row],[Investment Capital (₦)]] )</f>
        <v>#N/A</v>
      </c>
      <c r="E233" s="15"/>
      <c r="F233" s="14"/>
      <c r="G233" s="14"/>
      <c r="H233" s="14"/>
    </row>
    <row r="234" spans="1:8" x14ac:dyDescent="0.3">
      <c r="A234" s="13"/>
      <c r="B234" s="16">
        <f>IF($A234=InvestorTable[[#This Row],[Investor Tally '#]],InvestorTable[[#This Row],[Investor Name]], NA())</f>
        <v>0</v>
      </c>
      <c r="C234" s="14"/>
      <c r="D234" s="17" t="e" cm="1">
        <f t="array" ref="D234">_xlfn.IFS(AND(InvestorTable[[#This Row],[Investor Tally '#]] = 'Payment Tracker'!$A234, 'Payment Tracker'!$C234="Dividend") = TRUE, InvestorTable[[#This Row],[Monthly ROI (₦)]], AND(InvestorTable[[#This Row],[Investor Tally '#]] = 'Payment Tracker'!$A234, 'Payment Tracker'!$C234="Capital") = TRUE, InvestorTable[[#This Row],[Investment Capital (₦)]], AND(InvestorTable[[#This Row],[Investor Tally '#]] = 'Payment Tracker'!$A234, 'Payment Tracker'!$C234="Refund") = TRUE, InvestorTable[[#This Row],[Investment Capital (₦)]] )</f>
        <v>#N/A</v>
      </c>
      <c r="E234" s="15"/>
      <c r="F234" s="14"/>
      <c r="G234" s="14"/>
      <c r="H234" s="14"/>
    </row>
    <row r="235" spans="1:8" x14ac:dyDescent="0.3">
      <c r="A235" s="13"/>
      <c r="B235" s="16">
        <f>IF($A235=InvestorTable[[#This Row],[Investor Tally '#]],InvestorTable[[#This Row],[Investor Name]], NA())</f>
        <v>0</v>
      </c>
      <c r="C235" s="14"/>
      <c r="D235" s="17" t="e" cm="1">
        <f t="array" ref="D235">_xlfn.IFS(AND(InvestorTable[[#This Row],[Investor Tally '#]] = 'Payment Tracker'!$A235, 'Payment Tracker'!$C235="Dividend") = TRUE, InvestorTable[[#This Row],[Monthly ROI (₦)]], AND(InvestorTable[[#This Row],[Investor Tally '#]] = 'Payment Tracker'!$A235, 'Payment Tracker'!$C235="Capital") = TRUE, InvestorTable[[#This Row],[Investment Capital (₦)]], AND(InvestorTable[[#This Row],[Investor Tally '#]] = 'Payment Tracker'!$A235, 'Payment Tracker'!$C235="Refund") = TRUE, InvestorTable[[#This Row],[Investment Capital (₦)]] )</f>
        <v>#N/A</v>
      </c>
      <c r="E235" s="15"/>
      <c r="F235" s="14"/>
      <c r="G235" s="14"/>
      <c r="H235" s="14"/>
    </row>
    <row r="236" spans="1:8" x14ac:dyDescent="0.3">
      <c r="A236" s="13"/>
      <c r="B236" s="16">
        <f>IF($A236=InvestorTable[[#This Row],[Investor Tally '#]],InvestorTable[[#This Row],[Investor Name]], NA())</f>
        <v>0</v>
      </c>
      <c r="C236" s="14"/>
      <c r="D236" s="17" t="e" cm="1">
        <f t="array" ref="D236">_xlfn.IFS(AND(InvestorTable[[#This Row],[Investor Tally '#]] = 'Payment Tracker'!$A236, 'Payment Tracker'!$C236="Dividend") = TRUE, InvestorTable[[#This Row],[Monthly ROI (₦)]], AND(InvestorTable[[#This Row],[Investor Tally '#]] = 'Payment Tracker'!$A236, 'Payment Tracker'!$C236="Capital") = TRUE, InvestorTable[[#This Row],[Investment Capital (₦)]], AND(InvestorTable[[#This Row],[Investor Tally '#]] = 'Payment Tracker'!$A236, 'Payment Tracker'!$C236="Refund") = TRUE, InvestorTable[[#This Row],[Investment Capital (₦)]] )</f>
        <v>#N/A</v>
      </c>
      <c r="E236" s="15"/>
      <c r="F236" s="14"/>
      <c r="G236" s="14"/>
      <c r="H236" s="14"/>
    </row>
    <row r="237" spans="1:8" x14ac:dyDescent="0.3">
      <c r="A237" s="13"/>
      <c r="B237" s="16">
        <f>IF($A237=InvestorTable[[#This Row],[Investor Tally '#]],InvestorTable[[#This Row],[Investor Name]], NA())</f>
        <v>0</v>
      </c>
      <c r="C237" s="14"/>
      <c r="D237" s="17" t="e" cm="1">
        <f t="array" ref="D237">_xlfn.IFS(AND(InvestorTable[[#This Row],[Investor Tally '#]] = 'Payment Tracker'!$A237, 'Payment Tracker'!$C237="Dividend") = TRUE, InvestorTable[[#This Row],[Monthly ROI (₦)]], AND(InvestorTable[[#This Row],[Investor Tally '#]] = 'Payment Tracker'!$A237, 'Payment Tracker'!$C237="Capital") = TRUE, InvestorTable[[#This Row],[Investment Capital (₦)]], AND(InvestorTable[[#This Row],[Investor Tally '#]] = 'Payment Tracker'!$A237, 'Payment Tracker'!$C237="Refund") = TRUE, InvestorTable[[#This Row],[Investment Capital (₦)]] )</f>
        <v>#N/A</v>
      </c>
      <c r="E237" s="15"/>
      <c r="F237" s="14"/>
      <c r="G237" s="14"/>
      <c r="H237" s="14"/>
    </row>
    <row r="238" spans="1:8" x14ac:dyDescent="0.3">
      <c r="A238" s="13"/>
      <c r="B238" s="16">
        <f>IF($A238=InvestorTable[[#This Row],[Investor Tally '#]],InvestorTable[[#This Row],[Investor Name]], NA())</f>
        <v>0</v>
      </c>
      <c r="C238" s="14"/>
      <c r="D238" s="17" t="e" cm="1">
        <f t="array" ref="D238">_xlfn.IFS(AND(InvestorTable[[#This Row],[Investor Tally '#]] = 'Payment Tracker'!$A238, 'Payment Tracker'!$C238="Dividend") = TRUE, InvestorTable[[#This Row],[Monthly ROI (₦)]], AND(InvestorTable[[#This Row],[Investor Tally '#]] = 'Payment Tracker'!$A238, 'Payment Tracker'!$C238="Capital") = TRUE, InvestorTable[[#This Row],[Investment Capital (₦)]], AND(InvestorTable[[#This Row],[Investor Tally '#]] = 'Payment Tracker'!$A238, 'Payment Tracker'!$C238="Refund") = TRUE, InvestorTable[[#This Row],[Investment Capital (₦)]] )</f>
        <v>#N/A</v>
      </c>
      <c r="E238" s="15"/>
      <c r="F238" s="14"/>
      <c r="G238" s="14"/>
      <c r="H238" s="14"/>
    </row>
    <row r="239" spans="1:8" x14ac:dyDescent="0.3">
      <c r="A239" s="13"/>
      <c r="B239" s="16">
        <f>IF($A239=InvestorTable[[#This Row],[Investor Tally '#]],InvestorTable[[#This Row],[Investor Name]], NA())</f>
        <v>0</v>
      </c>
      <c r="C239" s="14"/>
      <c r="D239" s="17" t="e" cm="1">
        <f t="array" ref="D239">_xlfn.IFS(AND(InvestorTable[[#This Row],[Investor Tally '#]] = 'Payment Tracker'!$A239, 'Payment Tracker'!$C239="Dividend") = TRUE, InvestorTable[[#This Row],[Monthly ROI (₦)]], AND(InvestorTable[[#This Row],[Investor Tally '#]] = 'Payment Tracker'!$A239, 'Payment Tracker'!$C239="Capital") = TRUE, InvestorTable[[#This Row],[Investment Capital (₦)]], AND(InvestorTable[[#This Row],[Investor Tally '#]] = 'Payment Tracker'!$A239, 'Payment Tracker'!$C239="Refund") = TRUE, InvestorTable[[#This Row],[Investment Capital (₦)]] )</f>
        <v>#N/A</v>
      </c>
      <c r="E239" s="15"/>
      <c r="F239" s="14"/>
      <c r="G239" s="14"/>
      <c r="H239" s="14"/>
    </row>
    <row r="240" spans="1:8" x14ac:dyDescent="0.3">
      <c r="A240" s="13"/>
      <c r="B240" s="16">
        <f>IF($A240=InvestorTable[[#This Row],[Investor Tally '#]],InvestorTable[[#This Row],[Investor Name]], NA())</f>
        <v>0</v>
      </c>
      <c r="C240" s="14"/>
      <c r="D240" s="17" t="e" cm="1">
        <f t="array" ref="D240">_xlfn.IFS(AND(InvestorTable[[#This Row],[Investor Tally '#]] = 'Payment Tracker'!$A240, 'Payment Tracker'!$C240="Dividend") = TRUE, InvestorTable[[#This Row],[Monthly ROI (₦)]], AND(InvestorTable[[#This Row],[Investor Tally '#]] = 'Payment Tracker'!$A240, 'Payment Tracker'!$C240="Capital") = TRUE, InvestorTable[[#This Row],[Investment Capital (₦)]], AND(InvestorTable[[#This Row],[Investor Tally '#]] = 'Payment Tracker'!$A240, 'Payment Tracker'!$C240="Refund") = TRUE, InvestorTable[[#This Row],[Investment Capital (₦)]] )</f>
        <v>#N/A</v>
      </c>
      <c r="E240" s="15"/>
      <c r="F240" s="14"/>
      <c r="G240" s="14"/>
      <c r="H240" s="14"/>
    </row>
    <row r="241" spans="1:8" x14ac:dyDescent="0.3">
      <c r="A241" s="13"/>
      <c r="B241" s="16">
        <f>IF($A241=InvestorTable[[#This Row],[Investor Tally '#]],InvestorTable[[#This Row],[Investor Name]], NA())</f>
        <v>0</v>
      </c>
      <c r="C241" s="14"/>
      <c r="D241" s="17" t="e" cm="1">
        <f t="array" ref="D241">_xlfn.IFS(AND(InvestorTable[[#This Row],[Investor Tally '#]] = 'Payment Tracker'!$A241, 'Payment Tracker'!$C241="Dividend") = TRUE, InvestorTable[[#This Row],[Monthly ROI (₦)]], AND(InvestorTable[[#This Row],[Investor Tally '#]] = 'Payment Tracker'!$A241, 'Payment Tracker'!$C241="Capital") = TRUE, InvestorTable[[#This Row],[Investment Capital (₦)]], AND(InvestorTable[[#This Row],[Investor Tally '#]] = 'Payment Tracker'!$A241, 'Payment Tracker'!$C241="Refund") = TRUE, InvestorTable[[#This Row],[Investment Capital (₦)]] )</f>
        <v>#N/A</v>
      </c>
      <c r="E241" s="15"/>
      <c r="F241" s="14"/>
      <c r="G241" s="14"/>
      <c r="H241" s="14"/>
    </row>
    <row r="242" spans="1:8" x14ac:dyDescent="0.3">
      <c r="A242" s="13"/>
      <c r="B242" s="16">
        <f>IF($A242=InvestorTable[[#This Row],[Investor Tally '#]],InvestorTable[[#This Row],[Investor Name]], NA())</f>
        <v>0</v>
      </c>
      <c r="C242" s="14"/>
      <c r="D242" s="17" t="e" cm="1">
        <f t="array" ref="D242">_xlfn.IFS(AND(InvestorTable[[#This Row],[Investor Tally '#]] = 'Payment Tracker'!$A242, 'Payment Tracker'!$C242="Dividend") = TRUE, InvestorTable[[#This Row],[Monthly ROI (₦)]], AND(InvestorTable[[#This Row],[Investor Tally '#]] = 'Payment Tracker'!$A242, 'Payment Tracker'!$C242="Capital") = TRUE, InvestorTable[[#This Row],[Investment Capital (₦)]], AND(InvestorTable[[#This Row],[Investor Tally '#]] = 'Payment Tracker'!$A242, 'Payment Tracker'!$C242="Refund") = TRUE, InvestorTable[[#This Row],[Investment Capital (₦)]] )</f>
        <v>#N/A</v>
      </c>
      <c r="E242" s="15"/>
      <c r="F242" s="14"/>
      <c r="G242" s="14"/>
      <c r="H242" s="14"/>
    </row>
    <row r="243" spans="1:8" x14ac:dyDescent="0.3">
      <c r="A243" s="13"/>
      <c r="B243" s="16">
        <f>IF($A243=InvestorTable[[#This Row],[Investor Tally '#]],InvestorTable[[#This Row],[Investor Name]], NA())</f>
        <v>0</v>
      </c>
      <c r="C243" s="14"/>
      <c r="D243" s="17" t="e" cm="1">
        <f t="array" ref="D243">_xlfn.IFS(AND(InvestorTable[[#This Row],[Investor Tally '#]] = 'Payment Tracker'!$A243, 'Payment Tracker'!$C243="Dividend") = TRUE, InvestorTable[[#This Row],[Monthly ROI (₦)]], AND(InvestorTable[[#This Row],[Investor Tally '#]] = 'Payment Tracker'!$A243, 'Payment Tracker'!$C243="Capital") = TRUE, InvestorTable[[#This Row],[Investment Capital (₦)]], AND(InvestorTable[[#This Row],[Investor Tally '#]] = 'Payment Tracker'!$A243, 'Payment Tracker'!$C243="Refund") = TRUE, InvestorTable[[#This Row],[Investment Capital (₦)]] )</f>
        <v>#N/A</v>
      </c>
      <c r="E243" s="15"/>
      <c r="F243" s="14"/>
      <c r="G243" s="14"/>
      <c r="H243" s="14"/>
    </row>
    <row r="244" spans="1:8" x14ac:dyDescent="0.3">
      <c r="A244" s="13"/>
      <c r="B244" s="16">
        <f>IF($A244=InvestorTable[[#This Row],[Investor Tally '#]],InvestorTable[[#This Row],[Investor Name]], NA())</f>
        <v>0</v>
      </c>
      <c r="C244" s="14"/>
      <c r="D244" s="17" t="e" cm="1">
        <f t="array" ref="D244">_xlfn.IFS(AND(InvestorTable[[#This Row],[Investor Tally '#]] = 'Payment Tracker'!$A244, 'Payment Tracker'!$C244="Dividend") = TRUE, InvestorTable[[#This Row],[Monthly ROI (₦)]], AND(InvestorTable[[#This Row],[Investor Tally '#]] = 'Payment Tracker'!$A244, 'Payment Tracker'!$C244="Capital") = TRUE, InvestorTable[[#This Row],[Investment Capital (₦)]], AND(InvestorTable[[#This Row],[Investor Tally '#]] = 'Payment Tracker'!$A244, 'Payment Tracker'!$C244="Refund") = TRUE, InvestorTable[[#This Row],[Investment Capital (₦)]] )</f>
        <v>#N/A</v>
      </c>
      <c r="E244" s="15"/>
      <c r="F244" s="14"/>
      <c r="G244" s="14"/>
      <c r="H244" s="14"/>
    </row>
    <row r="245" spans="1:8" x14ac:dyDescent="0.3">
      <c r="A245" s="13"/>
      <c r="B245" s="16">
        <f>IF($A245=InvestorTable[[#This Row],[Investor Tally '#]],InvestorTable[[#This Row],[Investor Name]], NA())</f>
        <v>0</v>
      </c>
      <c r="C245" s="14"/>
      <c r="D245" s="17" t="e" cm="1">
        <f t="array" ref="D245">_xlfn.IFS(AND(InvestorTable[[#This Row],[Investor Tally '#]] = 'Payment Tracker'!$A245, 'Payment Tracker'!$C245="Dividend") = TRUE, InvestorTable[[#This Row],[Monthly ROI (₦)]], AND(InvestorTable[[#This Row],[Investor Tally '#]] = 'Payment Tracker'!$A245, 'Payment Tracker'!$C245="Capital") = TRUE, InvestorTable[[#This Row],[Investment Capital (₦)]], AND(InvestorTable[[#This Row],[Investor Tally '#]] = 'Payment Tracker'!$A245, 'Payment Tracker'!$C245="Refund") = TRUE, InvestorTable[[#This Row],[Investment Capital (₦)]] )</f>
        <v>#N/A</v>
      </c>
      <c r="E245" s="15"/>
      <c r="F245" s="14"/>
      <c r="G245" s="14"/>
      <c r="H245" s="14"/>
    </row>
    <row r="246" spans="1:8" x14ac:dyDescent="0.3">
      <c r="A246" s="13"/>
      <c r="B246" s="16">
        <f>IF($A246=InvestorTable[[#This Row],[Investor Tally '#]],InvestorTable[[#This Row],[Investor Name]], NA())</f>
        <v>0</v>
      </c>
      <c r="C246" s="14"/>
      <c r="D246" s="17" t="e" cm="1">
        <f t="array" ref="D246">_xlfn.IFS(AND(InvestorTable[[#This Row],[Investor Tally '#]] = 'Payment Tracker'!$A246, 'Payment Tracker'!$C246="Dividend") = TRUE, InvestorTable[[#This Row],[Monthly ROI (₦)]], AND(InvestorTable[[#This Row],[Investor Tally '#]] = 'Payment Tracker'!$A246, 'Payment Tracker'!$C246="Capital") = TRUE, InvestorTable[[#This Row],[Investment Capital (₦)]], AND(InvestorTable[[#This Row],[Investor Tally '#]] = 'Payment Tracker'!$A246, 'Payment Tracker'!$C246="Refund") = TRUE, InvestorTable[[#This Row],[Investment Capital (₦)]] )</f>
        <v>#N/A</v>
      </c>
      <c r="E246" s="15"/>
      <c r="F246" s="14"/>
      <c r="G246" s="14"/>
      <c r="H246" s="14"/>
    </row>
    <row r="247" spans="1:8" x14ac:dyDescent="0.3">
      <c r="A247" s="13"/>
      <c r="B247" s="16">
        <f>IF($A247=InvestorTable[[#This Row],[Investor Tally '#]],InvestorTable[[#This Row],[Investor Name]], NA())</f>
        <v>0</v>
      </c>
      <c r="C247" s="14"/>
      <c r="D247" s="17" t="e" cm="1">
        <f t="array" ref="D247">_xlfn.IFS(AND(InvestorTable[[#This Row],[Investor Tally '#]] = 'Payment Tracker'!$A247, 'Payment Tracker'!$C247="Dividend") = TRUE, InvestorTable[[#This Row],[Monthly ROI (₦)]], AND(InvestorTable[[#This Row],[Investor Tally '#]] = 'Payment Tracker'!$A247, 'Payment Tracker'!$C247="Capital") = TRUE, InvestorTable[[#This Row],[Investment Capital (₦)]], AND(InvestorTable[[#This Row],[Investor Tally '#]] = 'Payment Tracker'!$A247, 'Payment Tracker'!$C247="Refund") = TRUE, InvestorTable[[#This Row],[Investment Capital (₦)]] )</f>
        <v>#N/A</v>
      </c>
      <c r="E247" s="15"/>
      <c r="F247" s="14"/>
      <c r="G247" s="14"/>
      <c r="H247" s="14"/>
    </row>
    <row r="248" spans="1:8" x14ac:dyDescent="0.3">
      <c r="A248" s="13"/>
      <c r="B248" s="16">
        <f>IF($A248=InvestorTable[[#This Row],[Investor Tally '#]],InvestorTable[[#This Row],[Investor Name]], NA())</f>
        <v>0</v>
      </c>
      <c r="C248" s="14"/>
      <c r="D248" s="17" t="e" cm="1">
        <f t="array" ref="D248">_xlfn.IFS(AND(InvestorTable[[#This Row],[Investor Tally '#]] = 'Payment Tracker'!$A248, 'Payment Tracker'!$C248="Dividend") = TRUE, InvestorTable[[#This Row],[Monthly ROI (₦)]], AND(InvestorTable[[#This Row],[Investor Tally '#]] = 'Payment Tracker'!$A248, 'Payment Tracker'!$C248="Capital") = TRUE, InvestorTable[[#This Row],[Investment Capital (₦)]], AND(InvestorTable[[#This Row],[Investor Tally '#]] = 'Payment Tracker'!$A248, 'Payment Tracker'!$C248="Refund") = TRUE, InvestorTable[[#This Row],[Investment Capital (₦)]] )</f>
        <v>#N/A</v>
      </c>
      <c r="E248" s="15"/>
      <c r="F248" s="14"/>
      <c r="G248" s="14"/>
      <c r="H248" s="14"/>
    </row>
    <row r="249" spans="1:8" x14ac:dyDescent="0.3">
      <c r="A249" s="13"/>
      <c r="B249" s="16">
        <f>IF($A249=InvestorTable[[#This Row],[Investor Tally '#]],InvestorTable[[#This Row],[Investor Name]], NA())</f>
        <v>0</v>
      </c>
      <c r="C249" s="14"/>
      <c r="D249" s="17" t="e" cm="1">
        <f t="array" ref="D249">_xlfn.IFS(AND(InvestorTable[[#This Row],[Investor Tally '#]] = 'Payment Tracker'!$A249, 'Payment Tracker'!$C249="Dividend") = TRUE, InvestorTable[[#This Row],[Monthly ROI (₦)]], AND(InvestorTable[[#This Row],[Investor Tally '#]] = 'Payment Tracker'!$A249, 'Payment Tracker'!$C249="Capital") = TRUE, InvestorTable[[#This Row],[Investment Capital (₦)]], AND(InvestorTable[[#This Row],[Investor Tally '#]] = 'Payment Tracker'!$A249, 'Payment Tracker'!$C249="Refund") = TRUE, InvestorTable[[#This Row],[Investment Capital (₦)]] )</f>
        <v>#N/A</v>
      </c>
      <c r="E249" s="15"/>
      <c r="F249" s="14"/>
      <c r="G249" s="14"/>
      <c r="H249" s="14"/>
    </row>
    <row r="250" spans="1:8" x14ac:dyDescent="0.3">
      <c r="A250" s="13"/>
      <c r="B250" s="16">
        <f>IF($A250=InvestorTable[[#This Row],[Investor Tally '#]],InvestorTable[[#This Row],[Investor Name]], NA())</f>
        <v>0</v>
      </c>
      <c r="C250" s="14"/>
      <c r="D250" s="17" t="e" cm="1">
        <f t="array" ref="D250">_xlfn.IFS(AND(InvestorTable[[#This Row],[Investor Tally '#]] = 'Payment Tracker'!$A250, 'Payment Tracker'!$C250="Dividend") = TRUE, InvestorTable[[#This Row],[Monthly ROI (₦)]], AND(InvestorTable[[#This Row],[Investor Tally '#]] = 'Payment Tracker'!$A250, 'Payment Tracker'!$C250="Capital") = TRUE, InvestorTable[[#This Row],[Investment Capital (₦)]], AND(InvestorTable[[#This Row],[Investor Tally '#]] = 'Payment Tracker'!$A250, 'Payment Tracker'!$C250="Refund") = TRUE, InvestorTable[[#This Row],[Investment Capital (₦)]] )</f>
        <v>#N/A</v>
      </c>
      <c r="E250" s="15"/>
      <c r="F250" s="14"/>
      <c r="G250" s="14"/>
      <c r="H250" s="14"/>
    </row>
    <row r="251" spans="1:8" x14ac:dyDescent="0.3">
      <c r="A251" s="13"/>
      <c r="B251" s="16">
        <f>IF($A251=InvestorTable[[#This Row],[Investor Tally '#]],InvestorTable[[#This Row],[Investor Name]], NA())</f>
        <v>0</v>
      </c>
      <c r="C251" s="14"/>
      <c r="D251" s="17" t="e" cm="1">
        <f t="array" ref="D251">_xlfn.IFS(AND(InvestorTable[[#This Row],[Investor Tally '#]] = 'Payment Tracker'!$A251, 'Payment Tracker'!$C251="Dividend") = TRUE, InvestorTable[[#This Row],[Monthly ROI (₦)]], AND(InvestorTable[[#This Row],[Investor Tally '#]] = 'Payment Tracker'!$A251, 'Payment Tracker'!$C251="Capital") = TRUE, InvestorTable[[#This Row],[Investment Capital (₦)]], AND(InvestorTable[[#This Row],[Investor Tally '#]] = 'Payment Tracker'!$A251, 'Payment Tracker'!$C251="Refund") = TRUE, InvestorTable[[#This Row],[Investment Capital (₦)]] )</f>
        <v>#N/A</v>
      </c>
      <c r="E251" s="15"/>
      <c r="F251" s="14"/>
      <c r="G251" s="14"/>
      <c r="H251" s="14"/>
    </row>
    <row r="252" spans="1:8" x14ac:dyDescent="0.3">
      <c r="A252" s="13"/>
      <c r="B252" s="16">
        <f>IF($A252=InvestorTable[[#This Row],[Investor Tally '#]],InvestorTable[[#This Row],[Investor Name]], NA())</f>
        <v>0</v>
      </c>
      <c r="C252" s="14"/>
      <c r="D252" s="17" t="e" cm="1">
        <f t="array" ref="D252">_xlfn.IFS(AND(InvestorTable[[#This Row],[Investor Tally '#]] = 'Payment Tracker'!$A252, 'Payment Tracker'!$C252="Dividend") = TRUE, InvestorTable[[#This Row],[Monthly ROI (₦)]], AND(InvestorTable[[#This Row],[Investor Tally '#]] = 'Payment Tracker'!$A252, 'Payment Tracker'!$C252="Capital") = TRUE, InvestorTable[[#This Row],[Investment Capital (₦)]], AND(InvestorTable[[#This Row],[Investor Tally '#]] = 'Payment Tracker'!$A252, 'Payment Tracker'!$C252="Refund") = TRUE, InvestorTable[[#This Row],[Investment Capital (₦)]] )</f>
        <v>#N/A</v>
      </c>
      <c r="E252" s="15"/>
      <c r="F252" s="14"/>
      <c r="G252" s="14"/>
      <c r="H252" s="14"/>
    </row>
    <row r="253" spans="1:8" x14ac:dyDescent="0.3">
      <c r="A253" s="13"/>
      <c r="B253" s="16">
        <f>IF($A253=InvestorTable[[#This Row],[Investor Tally '#]],InvestorTable[[#This Row],[Investor Name]], NA())</f>
        <v>0</v>
      </c>
      <c r="C253" s="14"/>
      <c r="D253" s="17" t="e" cm="1">
        <f t="array" ref="D253">_xlfn.IFS(AND(InvestorTable[[#This Row],[Investor Tally '#]] = 'Payment Tracker'!$A253, 'Payment Tracker'!$C253="Dividend") = TRUE, InvestorTable[[#This Row],[Monthly ROI (₦)]], AND(InvestorTable[[#This Row],[Investor Tally '#]] = 'Payment Tracker'!$A253, 'Payment Tracker'!$C253="Capital") = TRUE, InvestorTable[[#This Row],[Investment Capital (₦)]], AND(InvestorTable[[#This Row],[Investor Tally '#]] = 'Payment Tracker'!$A253, 'Payment Tracker'!$C253="Refund") = TRUE, InvestorTable[[#This Row],[Investment Capital (₦)]] )</f>
        <v>#N/A</v>
      </c>
      <c r="E253" s="15"/>
      <c r="F253" s="14"/>
      <c r="G253" s="14"/>
      <c r="H253" s="14"/>
    </row>
    <row r="254" spans="1:8" x14ac:dyDescent="0.3">
      <c r="A254" s="13"/>
      <c r="B254" s="16">
        <f>IF($A254=InvestorTable[[#This Row],[Investor Tally '#]],InvestorTable[[#This Row],[Investor Name]], NA())</f>
        <v>0</v>
      </c>
      <c r="C254" s="14"/>
      <c r="D254" s="17" t="e" cm="1">
        <f t="array" ref="D254">_xlfn.IFS(AND(InvestorTable[[#This Row],[Investor Tally '#]] = 'Payment Tracker'!$A254, 'Payment Tracker'!$C254="Dividend") = TRUE, InvestorTable[[#This Row],[Monthly ROI (₦)]], AND(InvestorTable[[#This Row],[Investor Tally '#]] = 'Payment Tracker'!$A254, 'Payment Tracker'!$C254="Capital") = TRUE, InvestorTable[[#This Row],[Investment Capital (₦)]], AND(InvestorTable[[#This Row],[Investor Tally '#]] = 'Payment Tracker'!$A254, 'Payment Tracker'!$C254="Refund") = TRUE, InvestorTable[[#This Row],[Investment Capital (₦)]] )</f>
        <v>#N/A</v>
      </c>
      <c r="E254" s="15"/>
      <c r="F254" s="14"/>
      <c r="G254" s="14"/>
      <c r="H254" s="14"/>
    </row>
    <row r="255" spans="1:8" x14ac:dyDescent="0.3">
      <c r="A255" s="13"/>
      <c r="B255" s="16">
        <f>IF($A255=InvestorTable[[#This Row],[Investor Tally '#]],InvestorTable[[#This Row],[Investor Name]], NA())</f>
        <v>0</v>
      </c>
      <c r="C255" s="14"/>
      <c r="D255" s="17" t="e" cm="1">
        <f t="array" ref="D255">_xlfn.IFS(AND(InvestorTable[[#This Row],[Investor Tally '#]] = 'Payment Tracker'!$A255, 'Payment Tracker'!$C255="Dividend") = TRUE, InvestorTable[[#This Row],[Monthly ROI (₦)]], AND(InvestorTable[[#This Row],[Investor Tally '#]] = 'Payment Tracker'!$A255, 'Payment Tracker'!$C255="Capital") = TRUE, InvestorTable[[#This Row],[Investment Capital (₦)]], AND(InvestorTable[[#This Row],[Investor Tally '#]] = 'Payment Tracker'!$A255, 'Payment Tracker'!$C255="Refund") = TRUE, InvestorTable[[#This Row],[Investment Capital (₦)]] )</f>
        <v>#N/A</v>
      </c>
      <c r="E255" s="15"/>
      <c r="F255" s="14"/>
      <c r="G255" s="14"/>
      <c r="H255" s="14"/>
    </row>
    <row r="256" spans="1:8" x14ac:dyDescent="0.3">
      <c r="A256" s="13"/>
      <c r="B256" s="16">
        <f>IF($A256=InvestorTable[[#This Row],[Investor Tally '#]],InvestorTable[[#This Row],[Investor Name]], NA())</f>
        <v>0</v>
      </c>
      <c r="C256" s="14"/>
      <c r="D256" s="17" t="e" cm="1">
        <f t="array" ref="D256">_xlfn.IFS(AND(InvestorTable[[#This Row],[Investor Tally '#]] = 'Payment Tracker'!$A256, 'Payment Tracker'!$C256="Dividend") = TRUE, InvestorTable[[#This Row],[Monthly ROI (₦)]], AND(InvestorTable[[#This Row],[Investor Tally '#]] = 'Payment Tracker'!$A256, 'Payment Tracker'!$C256="Capital") = TRUE, InvestorTable[[#This Row],[Investment Capital (₦)]], AND(InvestorTable[[#This Row],[Investor Tally '#]] = 'Payment Tracker'!$A256, 'Payment Tracker'!$C256="Refund") = TRUE, InvestorTable[[#This Row],[Investment Capital (₦)]] )</f>
        <v>#N/A</v>
      </c>
      <c r="E256" s="15"/>
      <c r="F256" s="14"/>
      <c r="G256" s="14"/>
      <c r="H256" s="14"/>
    </row>
    <row r="257" spans="1:8" x14ac:dyDescent="0.3">
      <c r="A257" s="13"/>
      <c r="B257" s="16">
        <f>IF($A257=InvestorTable[[#This Row],[Investor Tally '#]],InvestorTable[[#This Row],[Investor Name]], NA())</f>
        <v>0</v>
      </c>
      <c r="C257" s="14"/>
      <c r="D257" s="17" t="e" cm="1">
        <f t="array" ref="D257">_xlfn.IFS(AND(InvestorTable[[#This Row],[Investor Tally '#]] = 'Payment Tracker'!$A257, 'Payment Tracker'!$C257="Dividend") = TRUE, InvestorTable[[#This Row],[Monthly ROI (₦)]], AND(InvestorTable[[#This Row],[Investor Tally '#]] = 'Payment Tracker'!$A257, 'Payment Tracker'!$C257="Capital") = TRUE, InvestorTable[[#This Row],[Investment Capital (₦)]], AND(InvestorTable[[#This Row],[Investor Tally '#]] = 'Payment Tracker'!$A257, 'Payment Tracker'!$C257="Refund") = TRUE, InvestorTable[[#This Row],[Investment Capital (₦)]] )</f>
        <v>#N/A</v>
      </c>
      <c r="E257" s="15"/>
      <c r="F257" s="14"/>
      <c r="G257" s="14"/>
      <c r="H257" s="14"/>
    </row>
    <row r="258" spans="1:8" x14ac:dyDescent="0.3">
      <c r="A258" s="13"/>
      <c r="B258" s="16">
        <f>IF($A258=InvestorTable[[#This Row],[Investor Tally '#]],InvestorTable[[#This Row],[Investor Name]], NA())</f>
        <v>0</v>
      </c>
      <c r="C258" s="14"/>
      <c r="D258" s="17" t="e" cm="1">
        <f t="array" ref="D258">_xlfn.IFS(AND(InvestorTable[[#This Row],[Investor Tally '#]] = 'Payment Tracker'!$A258, 'Payment Tracker'!$C258="Dividend") = TRUE, InvestorTable[[#This Row],[Monthly ROI (₦)]], AND(InvestorTable[[#This Row],[Investor Tally '#]] = 'Payment Tracker'!$A258, 'Payment Tracker'!$C258="Capital") = TRUE, InvestorTable[[#This Row],[Investment Capital (₦)]], AND(InvestorTable[[#This Row],[Investor Tally '#]] = 'Payment Tracker'!$A258, 'Payment Tracker'!$C258="Refund") = TRUE, InvestorTable[[#This Row],[Investment Capital (₦)]] )</f>
        <v>#N/A</v>
      </c>
      <c r="E258" s="15"/>
      <c r="F258" s="14"/>
      <c r="G258" s="14"/>
      <c r="H258" s="14"/>
    </row>
    <row r="259" spans="1:8" x14ac:dyDescent="0.3">
      <c r="A259" s="13"/>
      <c r="B259" s="16">
        <f>IF($A259=InvestorTable[[#This Row],[Investor Tally '#]],InvestorTable[[#This Row],[Investor Name]], NA())</f>
        <v>0</v>
      </c>
      <c r="C259" s="14"/>
      <c r="D259" s="17" t="e" cm="1">
        <f t="array" ref="D259">_xlfn.IFS(AND(InvestorTable[[#This Row],[Investor Tally '#]] = 'Payment Tracker'!$A259, 'Payment Tracker'!$C259="Dividend") = TRUE, InvestorTable[[#This Row],[Monthly ROI (₦)]], AND(InvestorTable[[#This Row],[Investor Tally '#]] = 'Payment Tracker'!$A259, 'Payment Tracker'!$C259="Capital") = TRUE, InvestorTable[[#This Row],[Investment Capital (₦)]], AND(InvestorTable[[#This Row],[Investor Tally '#]] = 'Payment Tracker'!$A259, 'Payment Tracker'!$C259="Refund") = TRUE, InvestorTable[[#This Row],[Investment Capital (₦)]] )</f>
        <v>#N/A</v>
      </c>
      <c r="E259" s="15"/>
      <c r="F259" s="14"/>
      <c r="G259" s="14"/>
      <c r="H259" s="14"/>
    </row>
    <row r="260" spans="1:8" x14ac:dyDescent="0.3">
      <c r="A260" s="13"/>
      <c r="B260" s="16">
        <f>IF($A260=InvestorTable[[#This Row],[Investor Tally '#]],InvestorTable[[#This Row],[Investor Name]], NA())</f>
        <v>0</v>
      </c>
      <c r="C260" s="14"/>
      <c r="D260" s="17" t="e" cm="1">
        <f t="array" ref="D260">_xlfn.IFS(AND(InvestorTable[[#This Row],[Investor Tally '#]] = 'Payment Tracker'!$A260, 'Payment Tracker'!$C260="Dividend") = TRUE, InvestorTable[[#This Row],[Monthly ROI (₦)]], AND(InvestorTable[[#This Row],[Investor Tally '#]] = 'Payment Tracker'!$A260, 'Payment Tracker'!$C260="Capital") = TRUE, InvestorTable[[#This Row],[Investment Capital (₦)]], AND(InvestorTable[[#This Row],[Investor Tally '#]] = 'Payment Tracker'!$A260, 'Payment Tracker'!$C260="Refund") = TRUE, InvestorTable[[#This Row],[Investment Capital (₦)]] )</f>
        <v>#N/A</v>
      </c>
      <c r="E260" s="15"/>
      <c r="F260" s="14"/>
      <c r="G260" s="14"/>
      <c r="H260" s="14"/>
    </row>
    <row r="261" spans="1:8" x14ac:dyDescent="0.3">
      <c r="A261" s="13"/>
      <c r="B261" s="16">
        <f>IF($A261=InvestorTable[[#This Row],[Investor Tally '#]],InvestorTable[[#This Row],[Investor Name]], NA())</f>
        <v>0</v>
      </c>
      <c r="C261" s="14"/>
      <c r="D261" s="17" t="e" cm="1">
        <f t="array" ref="D261">_xlfn.IFS(AND(InvestorTable[[#This Row],[Investor Tally '#]] = 'Payment Tracker'!$A261, 'Payment Tracker'!$C261="Dividend") = TRUE, InvestorTable[[#This Row],[Monthly ROI (₦)]], AND(InvestorTable[[#This Row],[Investor Tally '#]] = 'Payment Tracker'!$A261, 'Payment Tracker'!$C261="Capital") = TRUE, InvestorTable[[#This Row],[Investment Capital (₦)]], AND(InvestorTable[[#This Row],[Investor Tally '#]] = 'Payment Tracker'!$A261, 'Payment Tracker'!$C261="Refund") = TRUE, InvestorTable[[#This Row],[Investment Capital (₦)]] )</f>
        <v>#N/A</v>
      </c>
      <c r="E261" s="15"/>
      <c r="F261" s="14"/>
      <c r="G261" s="14"/>
      <c r="H261" s="14"/>
    </row>
    <row r="262" spans="1:8" x14ac:dyDescent="0.3">
      <c r="A262" s="13"/>
      <c r="B262" s="16">
        <f>IF($A262=InvestorTable[[#This Row],[Investor Tally '#]],InvestorTable[[#This Row],[Investor Name]], NA())</f>
        <v>0</v>
      </c>
      <c r="C262" s="14"/>
      <c r="D262" s="17" t="e" cm="1">
        <f t="array" ref="D262">_xlfn.IFS(AND(InvestorTable[[#This Row],[Investor Tally '#]] = 'Payment Tracker'!$A262, 'Payment Tracker'!$C262="Dividend") = TRUE, InvestorTable[[#This Row],[Monthly ROI (₦)]], AND(InvestorTable[[#This Row],[Investor Tally '#]] = 'Payment Tracker'!$A262, 'Payment Tracker'!$C262="Capital") = TRUE, InvestorTable[[#This Row],[Investment Capital (₦)]], AND(InvestorTable[[#This Row],[Investor Tally '#]] = 'Payment Tracker'!$A262, 'Payment Tracker'!$C262="Refund") = TRUE, InvestorTable[[#This Row],[Investment Capital (₦)]] )</f>
        <v>#N/A</v>
      </c>
      <c r="E262" s="15"/>
      <c r="F262" s="14"/>
      <c r="G262" s="14"/>
      <c r="H262" s="14"/>
    </row>
    <row r="263" spans="1:8" x14ac:dyDescent="0.3">
      <c r="A263" s="13"/>
      <c r="B263" s="16">
        <f>IF($A263=InvestorTable[[#This Row],[Investor Tally '#]],InvestorTable[[#This Row],[Investor Name]], NA())</f>
        <v>0</v>
      </c>
      <c r="C263" s="14"/>
      <c r="D263" s="17" t="e" cm="1">
        <f t="array" ref="D263">_xlfn.IFS(AND(InvestorTable[[#This Row],[Investor Tally '#]] = 'Payment Tracker'!$A263, 'Payment Tracker'!$C263="Dividend") = TRUE, InvestorTable[[#This Row],[Monthly ROI (₦)]], AND(InvestorTable[[#This Row],[Investor Tally '#]] = 'Payment Tracker'!$A263, 'Payment Tracker'!$C263="Capital") = TRUE, InvestorTable[[#This Row],[Investment Capital (₦)]], AND(InvestorTable[[#This Row],[Investor Tally '#]] = 'Payment Tracker'!$A263, 'Payment Tracker'!$C263="Refund") = TRUE, InvestorTable[[#This Row],[Investment Capital (₦)]] )</f>
        <v>#N/A</v>
      </c>
      <c r="E263" s="15"/>
      <c r="F263" s="14"/>
      <c r="G263" s="14"/>
      <c r="H263" s="14"/>
    </row>
    <row r="264" spans="1:8" x14ac:dyDescent="0.3">
      <c r="A264" s="13"/>
      <c r="B264" s="16">
        <f>IF($A264=InvestorTable[[#This Row],[Investor Tally '#]],InvestorTable[[#This Row],[Investor Name]], NA())</f>
        <v>0</v>
      </c>
      <c r="C264" s="14"/>
      <c r="D264" s="17" t="e" cm="1">
        <f t="array" ref="D264">_xlfn.IFS(AND(InvestorTable[[#This Row],[Investor Tally '#]] = 'Payment Tracker'!$A264, 'Payment Tracker'!$C264="Dividend") = TRUE, InvestorTable[[#This Row],[Monthly ROI (₦)]], AND(InvestorTable[[#This Row],[Investor Tally '#]] = 'Payment Tracker'!$A264, 'Payment Tracker'!$C264="Capital") = TRUE, InvestorTable[[#This Row],[Investment Capital (₦)]], AND(InvestorTable[[#This Row],[Investor Tally '#]] = 'Payment Tracker'!$A264, 'Payment Tracker'!$C264="Refund") = TRUE, InvestorTable[[#This Row],[Investment Capital (₦)]] )</f>
        <v>#N/A</v>
      </c>
      <c r="E264" s="15"/>
      <c r="F264" s="14"/>
      <c r="G264" s="14"/>
      <c r="H264" s="14"/>
    </row>
    <row r="265" spans="1:8" x14ac:dyDescent="0.3">
      <c r="A265" s="13"/>
      <c r="B265" s="16">
        <f>IF($A265=InvestorTable[[#This Row],[Investor Tally '#]],InvestorTable[[#This Row],[Investor Name]], NA())</f>
        <v>0</v>
      </c>
      <c r="C265" s="14"/>
      <c r="D265" s="17" t="e" cm="1">
        <f t="array" ref="D265">_xlfn.IFS(AND(InvestorTable[[#This Row],[Investor Tally '#]] = 'Payment Tracker'!$A265, 'Payment Tracker'!$C265="Dividend") = TRUE, InvestorTable[[#This Row],[Monthly ROI (₦)]], AND(InvestorTable[[#This Row],[Investor Tally '#]] = 'Payment Tracker'!$A265, 'Payment Tracker'!$C265="Capital") = TRUE, InvestorTable[[#This Row],[Investment Capital (₦)]], AND(InvestorTable[[#This Row],[Investor Tally '#]] = 'Payment Tracker'!$A265, 'Payment Tracker'!$C265="Refund") = TRUE, InvestorTable[[#This Row],[Investment Capital (₦)]] )</f>
        <v>#N/A</v>
      </c>
      <c r="E265" s="15"/>
      <c r="F265" s="14"/>
      <c r="G265" s="14"/>
      <c r="H265" s="14"/>
    </row>
    <row r="266" spans="1:8" x14ac:dyDescent="0.3">
      <c r="A266" s="13"/>
      <c r="B266" s="16">
        <f>IF($A266=InvestorTable[[#This Row],[Investor Tally '#]],InvestorTable[[#This Row],[Investor Name]], NA())</f>
        <v>0</v>
      </c>
      <c r="C266" s="14"/>
      <c r="D266" s="17" t="e" cm="1">
        <f t="array" ref="D266">_xlfn.IFS(AND(InvestorTable[[#This Row],[Investor Tally '#]] = 'Payment Tracker'!$A266, 'Payment Tracker'!$C266="Dividend") = TRUE, InvestorTable[[#This Row],[Monthly ROI (₦)]], AND(InvestorTable[[#This Row],[Investor Tally '#]] = 'Payment Tracker'!$A266, 'Payment Tracker'!$C266="Capital") = TRUE, InvestorTable[[#This Row],[Investment Capital (₦)]], AND(InvestorTable[[#This Row],[Investor Tally '#]] = 'Payment Tracker'!$A266, 'Payment Tracker'!$C266="Refund") = TRUE, InvestorTable[[#This Row],[Investment Capital (₦)]] )</f>
        <v>#N/A</v>
      </c>
      <c r="E266" s="15"/>
      <c r="F266" s="14"/>
      <c r="G266" s="14"/>
      <c r="H266" s="14"/>
    </row>
    <row r="267" spans="1:8" x14ac:dyDescent="0.3">
      <c r="A267" s="13"/>
      <c r="B267" s="16">
        <f>IF($A267=InvestorTable[[#This Row],[Investor Tally '#]],InvestorTable[[#This Row],[Investor Name]], NA())</f>
        <v>0</v>
      </c>
      <c r="C267" s="14"/>
      <c r="D267" s="17" t="e" cm="1">
        <f t="array" ref="D267">_xlfn.IFS(AND(InvestorTable[[#This Row],[Investor Tally '#]] = 'Payment Tracker'!$A267, 'Payment Tracker'!$C267="Dividend") = TRUE, InvestorTable[[#This Row],[Monthly ROI (₦)]], AND(InvestorTable[[#This Row],[Investor Tally '#]] = 'Payment Tracker'!$A267, 'Payment Tracker'!$C267="Capital") = TRUE, InvestorTable[[#This Row],[Investment Capital (₦)]], AND(InvestorTable[[#This Row],[Investor Tally '#]] = 'Payment Tracker'!$A267, 'Payment Tracker'!$C267="Refund") = TRUE, InvestorTable[[#This Row],[Investment Capital (₦)]] )</f>
        <v>#N/A</v>
      </c>
      <c r="E267" s="15"/>
      <c r="F267" s="14"/>
      <c r="G267" s="14"/>
      <c r="H267" s="14"/>
    </row>
    <row r="268" spans="1:8" x14ac:dyDescent="0.3">
      <c r="A268" s="13"/>
      <c r="B268" s="16">
        <f>IF($A268=InvestorTable[[#This Row],[Investor Tally '#]],InvestorTable[[#This Row],[Investor Name]], NA())</f>
        <v>0</v>
      </c>
      <c r="C268" s="14"/>
      <c r="D268" s="17" t="e" cm="1">
        <f t="array" ref="D268">_xlfn.IFS(AND(InvestorTable[[#This Row],[Investor Tally '#]] = 'Payment Tracker'!$A268, 'Payment Tracker'!$C268="Dividend") = TRUE, InvestorTable[[#This Row],[Monthly ROI (₦)]], AND(InvestorTable[[#This Row],[Investor Tally '#]] = 'Payment Tracker'!$A268, 'Payment Tracker'!$C268="Capital") = TRUE, InvestorTable[[#This Row],[Investment Capital (₦)]], AND(InvestorTable[[#This Row],[Investor Tally '#]] = 'Payment Tracker'!$A268, 'Payment Tracker'!$C268="Refund") = TRUE, InvestorTable[[#This Row],[Investment Capital (₦)]] )</f>
        <v>#N/A</v>
      </c>
      <c r="E268" s="15"/>
      <c r="F268" s="14"/>
      <c r="G268" s="14"/>
      <c r="H268" s="14"/>
    </row>
    <row r="269" spans="1:8" x14ac:dyDescent="0.3">
      <c r="A269" s="13"/>
      <c r="B269" s="16">
        <f>IF($A269=InvestorTable[[#This Row],[Investor Tally '#]],InvestorTable[[#This Row],[Investor Name]], NA())</f>
        <v>0</v>
      </c>
      <c r="C269" s="14"/>
      <c r="D269" s="17" t="e" cm="1">
        <f t="array" ref="D269">_xlfn.IFS(AND(InvestorTable[[#This Row],[Investor Tally '#]] = 'Payment Tracker'!$A269, 'Payment Tracker'!$C269="Dividend") = TRUE, InvestorTable[[#This Row],[Monthly ROI (₦)]], AND(InvestorTable[[#This Row],[Investor Tally '#]] = 'Payment Tracker'!$A269, 'Payment Tracker'!$C269="Capital") = TRUE, InvestorTable[[#This Row],[Investment Capital (₦)]], AND(InvestorTable[[#This Row],[Investor Tally '#]] = 'Payment Tracker'!$A269, 'Payment Tracker'!$C269="Refund") = TRUE, InvestorTable[[#This Row],[Investment Capital (₦)]] )</f>
        <v>#N/A</v>
      </c>
      <c r="E269" s="15"/>
      <c r="F269" s="14"/>
      <c r="G269" s="14"/>
      <c r="H269" s="14"/>
    </row>
    <row r="270" spans="1:8" x14ac:dyDescent="0.3">
      <c r="A270" s="13"/>
      <c r="B270" s="16">
        <f>IF($A270=InvestorTable[[#This Row],[Investor Tally '#]],InvestorTable[[#This Row],[Investor Name]], NA())</f>
        <v>0</v>
      </c>
      <c r="C270" s="14"/>
      <c r="D270" s="17" t="e" cm="1">
        <f t="array" ref="D270">_xlfn.IFS(AND(InvestorTable[[#This Row],[Investor Tally '#]] = 'Payment Tracker'!$A270, 'Payment Tracker'!$C270="Dividend") = TRUE, InvestorTable[[#This Row],[Monthly ROI (₦)]], AND(InvestorTable[[#This Row],[Investor Tally '#]] = 'Payment Tracker'!$A270, 'Payment Tracker'!$C270="Capital") = TRUE, InvestorTable[[#This Row],[Investment Capital (₦)]], AND(InvestorTable[[#This Row],[Investor Tally '#]] = 'Payment Tracker'!$A270, 'Payment Tracker'!$C270="Refund") = TRUE, InvestorTable[[#This Row],[Investment Capital (₦)]] )</f>
        <v>#N/A</v>
      </c>
      <c r="E270" s="15"/>
      <c r="F270" s="14"/>
      <c r="G270" s="14"/>
      <c r="H270" s="14"/>
    </row>
    <row r="271" spans="1:8" x14ac:dyDescent="0.3">
      <c r="A271" s="13"/>
      <c r="B271" s="16">
        <f>IF($A271=InvestorTable[[#This Row],[Investor Tally '#]],InvestorTable[[#This Row],[Investor Name]], NA())</f>
        <v>0</v>
      </c>
      <c r="C271" s="14"/>
      <c r="D271" s="17" t="e" cm="1">
        <f t="array" ref="D271">_xlfn.IFS(AND(InvestorTable[[#This Row],[Investor Tally '#]] = 'Payment Tracker'!$A271, 'Payment Tracker'!$C271="Dividend") = TRUE, InvestorTable[[#This Row],[Monthly ROI (₦)]], AND(InvestorTable[[#This Row],[Investor Tally '#]] = 'Payment Tracker'!$A271, 'Payment Tracker'!$C271="Capital") = TRUE, InvestorTable[[#This Row],[Investment Capital (₦)]], AND(InvestorTable[[#This Row],[Investor Tally '#]] = 'Payment Tracker'!$A271, 'Payment Tracker'!$C271="Refund") = TRUE, InvestorTable[[#This Row],[Investment Capital (₦)]] )</f>
        <v>#N/A</v>
      </c>
      <c r="E271" s="15"/>
      <c r="F271" s="14"/>
      <c r="G271" s="14"/>
      <c r="H271" s="14"/>
    </row>
    <row r="272" spans="1:8" x14ac:dyDescent="0.3">
      <c r="A272" s="13"/>
      <c r="B272" s="16">
        <f>IF($A272=InvestorTable[[#This Row],[Investor Tally '#]],InvestorTable[[#This Row],[Investor Name]], NA())</f>
        <v>0</v>
      </c>
      <c r="C272" s="14"/>
      <c r="D272" s="17" t="e" cm="1">
        <f t="array" ref="D272">_xlfn.IFS(AND(InvestorTable[[#This Row],[Investor Tally '#]] = 'Payment Tracker'!$A272, 'Payment Tracker'!$C272="Dividend") = TRUE, InvestorTable[[#This Row],[Monthly ROI (₦)]], AND(InvestorTable[[#This Row],[Investor Tally '#]] = 'Payment Tracker'!$A272, 'Payment Tracker'!$C272="Capital") = TRUE, InvestorTable[[#This Row],[Investment Capital (₦)]], AND(InvestorTable[[#This Row],[Investor Tally '#]] = 'Payment Tracker'!$A272, 'Payment Tracker'!$C272="Refund") = TRUE, InvestorTable[[#This Row],[Investment Capital (₦)]] )</f>
        <v>#N/A</v>
      </c>
      <c r="E272" s="15"/>
      <c r="F272" s="14"/>
      <c r="G272" s="14"/>
      <c r="H272" s="14"/>
    </row>
    <row r="273" spans="1:8" x14ac:dyDescent="0.3">
      <c r="A273" s="13"/>
      <c r="B273" s="16">
        <f>IF($A273=InvestorTable[[#This Row],[Investor Tally '#]],InvestorTable[[#This Row],[Investor Name]], NA())</f>
        <v>0</v>
      </c>
      <c r="C273" s="14"/>
      <c r="D273" s="17" t="e" cm="1">
        <f t="array" ref="D273">_xlfn.IFS(AND(InvestorTable[[#This Row],[Investor Tally '#]] = 'Payment Tracker'!$A273, 'Payment Tracker'!$C273="Dividend") = TRUE, InvestorTable[[#This Row],[Monthly ROI (₦)]], AND(InvestorTable[[#This Row],[Investor Tally '#]] = 'Payment Tracker'!$A273, 'Payment Tracker'!$C273="Capital") = TRUE, InvestorTable[[#This Row],[Investment Capital (₦)]], AND(InvestorTable[[#This Row],[Investor Tally '#]] = 'Payment Tracker'!$A273, 'Payment Tracker'!$C273="Refund") = TRUE, InvestorTable[[#This Row],[Investment Capital (₦)]] )</f>
        <v>#N/A</v>
      </c>
      <c r="E273" s="15"/>
      <c r="F273" s="14"/>
      <c r="G273" s="14"/>
      <c r="H273" s="14"/>
    </row>
    <row r="274" spans="1:8" x14ac:dyDescent="0.3">
      <c r="A274" s="13"/>
      <c r="B274" s="16">
        <f>IF($A274=InvestorTable[[#This Row],[Investor Tally '#]],InvestorTable[[#This Row],[Investor Name]], NA())</f>
        <v>0</v>
      </c>
      <c r="C274" s="14"/>
      <c r="D274" s="17" t="e" cm="1">
        <f t="array" ref="D274">_xlfn.IFS(AND(InvestorTable[[#This Row],[Investor Tally '#]] = 'Payment Tracker'!$A274, 'Payment Tracker'!$C274="Dividend") = TRUE, InvestorTable[[#This Row],[Monthly ROI (₦)]], AND(InvestorTable[[#This Row],[Investor Tally '#]] = 'Payment Tracker'!$A274, 'Payment Tracker'!$C274="Capital") = TRUE, InvestorTable[[#This Row],[Investment Capital (₦)]], AND(InvestorTable[[#This Row],[Investor Tally '#]] = 'Payment Tracker'!$A274, 'Payment Tracker'!$C274="Refund") = TRUE, InvestorTable[[#This Row],[Investment Capital (₦)]] )</f>
        <v>#N/A</v>
      </c>
      <c r="E274" s="15"/>
      <c r="F274" s="14"/>
      <c r="G274" s="14"/>
      <c r="H274" s="14"/>
    </row>
    <row r="275" spans="1:8" x14ac:dyDescent="0.3">
      <c r="A275" s="13"/>
      <c r="B275" s="16">
        <f>IF($A275=InvestorTable[[#This Row],[Investor Tally '#]],InvestorTable[[#This Row],[Investor Name]], NA())</f>
        <v>0</v>
      </c>
      <c r="C275" s="14"/>
      <c r="D275" s="17" t="e" cm="1">
        <f t="array" ref="D275">_xlfn.IFS(AND(InvestorTable[[#This Row],[Investor Tally '#]] = 'Payment Tracker'!$A275, 'Payment Tracker'!$C275="Dividend") = TRUE, InvestorTable[[#This Row],[Monthly ROI (₦)]], AND(InvestorTable[[#This Row],[Investor Tally '#]] = 'Payment Tracker'!$A275, 'Payment Tracker'!$C275="Capital") = TRUE, InvestorTable[[#This Row],[Investment Capital (₦)]], AND(InvestorTable[[#This Row],[Investor Tally '#]] = 'Payment Tracker'!$A275, 'Payment Tracker'!$C275="Refund") = TRUE, InvestorTable[[#This Row],[Investment Capital (₦)]] )</f>
        <v>#N/A</v>
      </c>
      <c r="E275" s="15"/>
      <c r="F275" s="14"/>
      <c r="G275" s="14"/>
      <c r="H275" s="14"/>
    </row>
    <row r="276" spans="1:8" x14ac:dyDescent="0.3">
      <c r="A276" s="13"/>
      <c r="B276" s="16">
        <f>IF($A276=InvestorTable[[#This Row],[Investor Tally '#]],InvestorTable[[#This Row],[Investor Name]], NA())</f>
        <v>0</v>
      </c>
      <c r="C276" s="14"/>
      <c r="D276" s="17" t="e" cm="1">
        <f t="array" ref="D276">_xlfn.IFS(AND(InvestorTable[[#This Row],[Investor Tally '#]] = 'Payment Tracker'!$A276, 'Payment Tracker'!$C276="Dividend") = TRUE, InvestorTable[[#This Row],[Monthly ROI (₦)]], AND(InvestorTable[[#This Row],[Investor Tally '#]] = 'Payment Tracker'!$A276, 'Payment Tracker'!$C276="Capital") = TRUE, InvestorTable[[#This Row],[Investment Capital (₦)]], AND(InvestorTable[[#This Row],[Investor Tally '#]] = 'Payment Tracker'!$A276, 'Payment Tracker'!$C276="Refund") = TRUE, InvestorTable[[#This Row],[Investment Capital (₦)]] )</f>
        <v>#N/A</v>
      </c>
      <c r="E276" s="15"/>
      <c r="F276" s="14"/>
      <c r="G276" s="14"/>
      <c r="H276" s="14"/>
    </row>
    <row r="277" spans="1:8" x14ac:dyDescent="0.3">
      <c r="A277" s="13"/>
      <c r="B277" s="16">
        <f>IF($A277=InvestorTable[[#This Row],[Investor Tally '#]],InvestorTable[[#This Row],[Investor Name]], NA())</f>
        <v>0</v>
      </c>
      <c r="C277" s="14"/>
      <c r="D277" s="17" t="e" cm="1">
        <f t="array" ref="D277">_xlfn.IFS(AND(InvestorTable[[#This Row],[Investor Tally '#]] = 'Payment Tracker'!$A277, 'Payment Tracker'!$C277="Dividend") = TRUE, InvestorTable[[#This Row],[Monthly ROI (₦)]], AND(InvestorTable[[#This Row],[Investor Tally '#]] = 'Payment Tracker'!$A277, 'Payment Tracker'!$C277="Capital") = TRUE, InvestorTable[[#This Row],[Investment Capital (₦)]], AND(InvestorTable[[#This Row],[Investor Tally '#]] = 'Payment Tracker'!$A277, 'Payment Tracker'!$C277="Refund") = TRUE, InvestorTable[[#This Row],[Investment Capital (₦)]] )</f>
        <v>#N/A</v>
      </c>
      <c r="E277" s="15"/>
      <c r="F277" s="14"/>
      <c r="G277" s="14"/>
      <c r="H277" s="14"/>
    </row>
    <row r="278" spans="1:8" x14ac:dyDescent="0.3">
      <c r="A278" s="13"/>
      <c r="B278" s="16">
        <f>IF($A278=InvestorTable[[#This Row],[Investor Tally '#]],InvestorTable[[#This Row],[Investor Name]], NA())</f>
        <v>0</v>
      </c>
      <c r="C278" s="14"/>
      <c r="D278" s="17" t="e" cm="1">
        <f t="array" ref="D278">_xlfn.IFS(AND(InvestorTable[[#This Row],[Investor Tally '#]] = 'Payment Tracker'!$A278, 'Payment Tracker'!$C278="Dividend") = TRUE, InvestorTable[[#This Row],[Monthly ROI (₦)]], AND(InvestorTable[[#This Row],[Investor Tally '#]] = 'Payment Tracker'!$A278, 'Payment Tracker'!$C278="Capital") = TRUE, InvestorTable[[#This Row],[Investment Capital (₦)]], AND(InvestorTable[[#This Row],[Investor Tally '#]] = 'Payment Tracker'!$A278, 'Payment Tracker'!$C278="Refund") = TRUE, InvestorTable[[#This Row],[Investment Capital (₦)]] )</f>
        <v>#N/A</v>
      </c>
      <c r="E278" s="15"/>
      <c r="F278" s="14"/>
      <c r="G278" s="14"/>
      <c r="H278" s="14"/>
    </row>
    <row r="279" spans="1:8" x14ac:dyDescent="0.3">
      <c r="A279" s="13"/>
      <c r="B279" s="16">
        <f>IF($A279=InvestorTable[[#This Row],[Investor Tally '#]],InvestorTable[[#This Row],[Investor Name]], NA())</f>
        <v>0</v>
      </c>
      <c r="C279" s="14"/>
      <c r="D279" s="17" t="e" cm="1">
        <f t="array" ref="D279">_xlfn.IFS(AND(InvestorTable[[#This Row],[Investor Tally '#]] = 'Payment Tracker'!$A279, 'Payment Tracker'!$C279="Dividend") = TRUE, InvestorTable[[#This Row],[Monthly ROI (₦)]], AND(InvestorTable[[#This Row],[Investor Tally '#]] = 'Payment Tracker'!$A279, 'Payment Tracker'!$C279="Capital") = TRUE, InvestorTable[[#This Row],[Investment Capital (₦)]], AND(InvestorTable[[#This Row],[Investor Tally '#]] = 'Payment Tracker'!$A279, 'Payment Tracker'!$C279="Refund") = TRUE, InvestorTable[[#This Row],[Investment Capital (₦)]] )</f>
        <v>#N/A</v>
      </c>
      <c r="E279" s="15"/>
      <c r="F279" s="14"/>
      <c r="G279" s="14"/>
      <c r="H279" s="14"/>
    </row>
    <row r="280" spans="1:8" x14ac:dyDescent="0.3">
      <c r="A280" s="13"/>
      <c r="B280" s="16">
        <f>IF($A280=InvestorTable[[#This Row],[Investor Tally '#]],InvestorTable[[#This Row],[Investor Name]], NA())</f>
        <v>0</v>
      </c>
      <c r="C280" s="14"/>
      <c r="D280" s="17" t="e" cm="1">
        <f t="array" ref="D280">_xlfn.IFS(AND(InvestorTable[[#This Row],[Investor Tally '#]] = 'Payment Tracker'!$A280, 'Payment Tracker'!$C280="Dividend") = TRUE, InvestorTable[[#This Row],[Monthly ROI (₦)]], AND(InvestorTable[[#This Row],[Investor Tally '#]] = 'Payment Tracker'!$A280, 'Payment Tracker'!$C280="Capital") = TRUE, InvestorTable[[#This Row],[Investment Capital (₦)]], AND(InvestorTable[[#This Row],[Investor Tally '#]] = 'Payment Tracker'!$A280, 'Payment Tracker'!$C280="Refund") = TRUE, InvestorTable[[#This Row],[Investment Capital (₦)]] )</f>
        <v>#N/A</v>
      </c>
      <c r="E280" s="15"/>
      <c r="F280" s="14"/>
      <c r="G280" s="14"/>
      <c r="H280" s="14"/>
    </row>
    <row r="281" spans="1:8" x14ac:dyDescent="0.3">
      <c r="A281" s="13"/>
      <c r="B281" s="16">
        <f>IF($A281=InvestorTable[[#This Row],[Investor Tally '#]],InvestorTable[[#This Row],[Investor Name]], NA())</f>
        <v>0</v>
      </c>
      <c r="C281" s="14"/>
      <c r="D281" s="17" t="e" cm="1">
        <f t="array" ref="D281">_xlfn.IFS(AND(InvestorTable[[#This Row],[Investor Tally '#]] = 'Payment Tracker'!$A281, 'Payment Tracker'!$C281="Dividend") = TRUE, InvestorTable[[#This Row],[Monthly ROI (₦)]], AND(InvestorTable[[#This Row],[Investor Tally '#]] = 'Payment Tracker'!$A281, 'Payment Tracker'!$C281="Capital") = TRUE, InvestorTable[[#This Row],[Investment Capital (₦)]], AND(InvestorTable[[#This Row],[Investor Tally '#]] = 'Payment Tracker'!$A281, 'Payment Tracker'!$C281="Refund") = TRUE, InvestorTable[[#This Row],[Investment Capital (₦)]] )</f>
        <v>#N/A</v>
      </c>
      <c r="E281" s="15"/>
      <c r="F281" s="14"/>
      <c r="G281" s="14"/>
      <c r="H281" s="14"/>
    </row>
    <row r="282" spans="1:8" x14ac:dyDescent="0.3">
      <c r="A282" s="13"/>
      <c r="B282" s="16">
        <f>IF($A282=InvestorTable[[#This Row],[Investor Tally '#]],InvestorTable[[#This Row],[Investor Name]], NA())</f>
        <v>0</v>
      </c>
      <c r="C282" s="14"/>
      <c r="D282" s="17" t="e" cm="1">
        <f t="array" ref="D282">_xlfn.IFS(AND(InvestorTable[[#This Row],[Investor Tally '#]] = 'Payment Tracker'!$A282, 'Payment Tracker'!$C282="Dividend") = TRUE, InvestorTable[[#This Row],[Monthly ROI (₦)]], AND(InvestorTable[[#This Row],[Investor Tally '#]] = 'Payment Tracker'!$A282, 'Payment Tracker'!$C282="Capital") = TRUE, InvestorTable[[#This Row],[Investment Capital (₦)]], AND(InvestorTable[[#This Row],[Investor Tally '#]] = 'Payment Tracker'!$A282, 'Payment Tracker'!$C282="Refund") = TRUE, InvestorTable[[#This Row],[Investment Capital (₦)]] )</f>
        <v>#N/A</v>
      </c>
      <c r="E282" s="15"/>
      <c r="F282" s="14"/>
      <c r="G282" s="14"/>
      <c r="H282" s="14"/>
    </row>
    <row r="283" spans="1:8" x14ac:dyDescent="0.3">
      <c r="A283" s="13"/>
      <c r="B283" s="16">
        <f>IF($A283=InvestorTable[[#This Row],[Investor Tally '#]],InvestorTable[[#This Row],[Investor Name]], NA())</f>
        <v>0</v>
      </c>
      <c r="C283" s="14"/>
      <c r="D283" s="17" t="e" cm="1">
        <f t="array" ref="D283">_xlfn.IFS(AND(InvestorTable[[#This Row],[Investor Tally '#]] = 'Payment Tracker'!$A283, 'Payment Tracker'!$C283="Dividend") = TRUE, InvestorTable[[#This Row],[Monthly ROI (₦)]], AND(InvestorTable[[#This Row],[Investor Tally '#]] = 'Payment Tracker'!$A283, 'Payment Tracker'!$C283="Capital") = TRUE, InvestorTable[[#This Row],[Investment Capital (₦)]], AND(InvestorTable[[#This Row],[Investor Tally '#]] = 'Payment Tracker'!$A283, 'Payment Tracker'!$C283="Refund") = TRUE, InvestorTable[[#This Row],[Investment Capital (₦)]] )</f>
        <v>#N/A</v>
      </c>
      <c r="E283" s="15"/>
      <c r="F283" s="14"/>
      <c r="G283" s="14"/>
      <c r="H283" s="14"/>
    </row>
    <row r="284" spans="1:8" x14ac:dyDescent="0.3">
      <c r="A284" s="13"/>
      <c r="B284" s="16">
        <f>IF($A284=InvestorTable[[#This Row],[Investor Tally '#]],InvestorTable[[#This Row],[Investor Name]], NA())</f>
        <v>0</v>
      </c>
      <c r="C284" s="14"/>
      <c r="D284" s="17" t="e" cm="1">
        <f t="array" ref="D284">_xlfn.IFS(AND(InvestorTable[[#This Row],[Investor Tally '#]] = 'Payment Tracker'!$A284, 'Payment Tracker'!$C284="Dividend") = TRUE, InvestorTable[[#This Row],[Monthly ROI (₦)]], AND(InvestorTable[[#This Row],[Investor Tally '#]] = 'Payment Tracker'!$A284, 'Payment Tracker'!$C284="Capital") = TRUE, InvestorTable[[#This Row],[Investment Capital (₦)]], AND(InvestorTable[[#This Row],[Investor Tally '#]] = 'Payment Tracker'!$A284, 'Payment Tracker'!$C284="Refund") = TRUE, InvestorTable[[#This Row],[Investment Capital (₦)]] )</f>
        <v>#N/A</v>
      </c>
      <c r="E284" s="15"/>
      <c r="F284" s="14"/>
      <c r="G284" s="14"/>
      <c r="H284" s="14"/>
    </row>
    <row r="285" spans="1:8" x14ac:dyDescent="0.3">
      <c r="A285" s="13"/>
      <c r="B285" s="16">
        <f>IF($A285=InvestorTable[[#This Row],[Investor Tally '#]],InvestorTable[[#This Row],[Investor Name]], NA())</f>
        <v>0</v>
      </c>
      <c r="C285" s="14"/>
      <c r="D285" s="17" t="e" cm="1">
        <f t="array" ref="D285">_xlfn.IFS(AND(InvestorTable[[#This Row],[Investor Tally '#]] = 'Payment Tracker'!$A285, 'Payment Tracker'!$C285="Dividend") = TRUE, InvestorTable[[#This Row],[Monthly ROI (₦)]], AND(InvestorTable[[#This Row],[Investor Tally '#]] = 'Payment Tracker'!$A285, 'Payment Tracker'!$C285="Capital") = TRUE, InvestorTable[[#This Row],[Investment Capital (₦)]], AND(InvestorTable[[#This Row],[Investor Tally '#]] = 'Payment Tracker'!$A285, 'Payment Tracker'!$C285="Refund") = TRUE, InvestorTable[[#This Row],[Investment Capital (₦)]] )</f>
        <v>#N/A</v>
      </c>
      <c r="E285" s="15"/>
      <c r="F285" s="14"/>
      <c r="G285" s="14"/>
      <c r="H285" s="14"/>
    </row>
    <row r="286" spans="1:8" x14ac:dyDescent="0.3">
      <c r="A286" s="13"/>
      <c r="B286" s="16">
        <f>IF($A286=InvestorTable[[#This Row],[Investor Tally '#]],InvestorTable[[#This Row],[Investor Name]], NA())</f>
        <v>0</v>
      </c>
      <c r="C286" s="14"/>
      <c r="D286" s="17" t="e" cm="1">
        <f t="array" ref="D286">_xlfn.IFS(AND(InvestorTable[[#This Row],[Investor Tally '#]] = 'Payment Tracker'!$A286, 'Payment Tracker'!$C286="Dividend") = TRUE, InvestorTable[[#This Row],[Monthly ROI (₦)]], AND(InvestorTable[[#This Row],[Investor Tally '#]] = 'Payment Tracker'!$A286, 'Payment Tracker'!$C286="Capital") = TRUE, InvestorTable[[#This Row],[Investment Capital (₦)]], AND(InvestorTable[[#This Row],[Investor Tally '#]] = 'Payment Tracker'!$A286, 'Payment Tracker'!$C286="Refund") = TRUE, InvestorTable[[#This Row],[Investment Capital (₦)]] )</f>
        <v>#N/A</v>
      </c>
      <c r="E286" s="15"/>
      <c r="F286" s="14"/>
      <c r="G286" s="14"/>
      <c r="H286" s="14"/>
    </row>
    <row r="287" spans="1:8" x14ac:dyDescent="0.3">
      <c r="A287" s="13"/>
      <c r="B287" s="16">
        <f>IF($A287=InvestorTable[[#This Row],[Investor Tally '#]],InvestorTable[[#This Row],[Investor Name]], NA())</f>
        <v>0</v>
      </c>
      <c r="C287" s="14"/>
      <c r="D287" s="17" t="e" cm="1">
        <f t="array" ref="D287">_xlfn.IFS(AND(InvestorTable[[#This Row],[Investor Tally '#]] = 'Payment Tracker'!$A287, 'Payment Tracker'!$C287="Dividend") = TRUE, InvestorTable[[#This Row],[Monthly ROI (₦)]], AND(InvestorTable[[#This Row],[Investor Tally '#]] = 'Payment Tracker'!$A287, 'Payment Tracker'!$C287="Capital") = TRUE, InvestorTable[[#This Row],[Investment Capital (₦)]], AND(InvestorTable[[#This Row],[Investor Tally '#]] = 'Payment Tracker'!$A287, 'Payment Tracker'!$C287="Refund") = TRUE, InvestorTable[[#This Row],[Investment Capital (₦)]] )</f>
        <v>#N/A</v>
      </c>
      <c r="E287" s="15"/>
      <c r="F287" s="14"/>
      <c r="G287" s="14"/>
      <c r="H287" s="14"/>
    </row>
    <row r="288" spans="1:8" x14ac:dyDescent="0.3">
      <c r="A288" s="13"/>
      <c r="B288" s="16">
        <f>IF($A288=InvestorTable[[#This Row],[Investor Tally '#]],InvestorTable[[#This Row],[Investor Name]], NA())</f>
        <v>0</v>
      </c>
      <c r="C288" s="14"/>
      <c r="D288" s="17" t="e" cm="1">
        <f t="array" ref="D288">_xlfn.IFS(AND(InvestorTable[[#This Row],[Investor Tally '#]] = 'Payment Tracker'!$A288, 'Payment Tracker'!$C288="Dividend") = TRUE, InvestorTable[[#This Row],[Monthly ROI (₦)]], AND(InvestorTable[[#This Row],[Investor Tally '#]] = 'Payment Tracker'!$A288, 'Payment Tracker'!$C288="Capital") = TRUE, InvestorTable[[#This Row],[Investment Capital (₦)]], AND(InvestorTable[[#This Row],[Investor Tally '#]] = 'Payment Tracker'!$A288, 'Payment Tracker'!$C288="Refund") = TRUE, InvestorTable[[#This Row],[Investment Capital (₦)]] )</f>
        <v>#N/A</v>
      </c>
      <c r="E288" s="15"/>
      <c r="F288" s="14"/>
      <c r="G288" s="14"/>
      <c r="H288" s="14"/>
    </row>
    <row r="289" spans="1:8" x14ac:dyDescent="0.3">
      <c r="A289" s="13"/>
      <c r="B289" s="16">
        <f>IF($A289=InvestorTable[[#This Row],[Investor Tally '#]],InvestorTable[[#This Row],[Investor Name]], NA())</f>
        <v>0</v>
      </c>
      <c r="C289" s="14"/>
      <c r="D289" s="17" t="e" cm="1">
        <f t="array" ref="D289">_xlfn.IFS(AND(InvestorTable[[#This Row],[Investor Tally '#]] = 'Payment Tracker'!$A289, 'Payment Tracker'!$C289="Dividend") = TRUE, InvestorTable[[#This Row],[Monthly ROI (₦)]], AND(InvestorTable[[#This Row],[Investor Tally '#]] = 'Payment Tracker'!$A289, 'Payment Tracker'!$C289="Capital") = TRUE, InvestorTable[[#This Row],[Investment Capital (₦)]], AND(InvestorTable[[#This Row],[Investor Tally '#]] = 'Payment Tracker'!$A289, 'Payment Tracker'!$C289="Refund") = TRUE, InvestorTable[[#This Row],[Investment Capital (₦)]] )</f>
        <v>#N/A</v>
      </c>
      <c r="E289" s="15"/>
      <c r="F289" s="14"/>
      <c r="G289" s="14"/>
      <c r="H289" s="14"/>
    </row>
    <row r="290" spans="1:8" x14ac:dyDescent="0.3">
      <c r="A290" s="13"/>
      <c r="B290" s="16">
        <f>IF($A290=InvestorTable[[#This Row],[Investor Tally '#]],InvestorTable[[#This Row],[Investor Name]], NA())</f>
        <v>0</v>
      </c>
      <c r="C290" s="14"/>
      <c r="D290" s="17" t="e" cm="1">
        <f t="array" ref="D290">_xlfn.IFS(AND(InvestorTable[[#This Row],[Investor Tally '#]] = 'Payment Tracker'!$A290, 'Payment Tracker'!$C290="Dividend") = TRUE, InvestorTable[[#This Row],[Monthly ROI (₦)]], AND(InvestorTable[[#This Row],[Investor Tally '#]] = 'Payment Tracker'!$A290, 'Payment Tracker'!$C290="Capital") = TRUE, InvestorTable[[#This Row],[Investment Capital (₦)]], AND(InvestorTable[[#This Row],[Investor Tally '#]] = 'Payment Tracker'!$A290, 'Payment Tracker'!$C290="Refund") = TRUE, InvestorTable[[#This Row],[Investment Capital (₦)]] )</f>
        <v>#N/A</v>
      </c>
      <c r="E290" s="15"/>
      <c r="F290" s="14"/>
      <c r="G290" s="14"/>
      <c r="H290" s="14"/>
    </row>
    <row r="291" spans="1:8" x14ac:dyDescent="0.3">
      <c r="A291" s="13"/>
      <c r="B291" s="16">
        <f>IF($A291=InvestorTable[[#This Row],[Investor Tally '#]],InvestorTable[[#This Row],[Investor Name]], NA())</f>
        <v>0</v>
      </c>
      <c r="C291" s="14"/>
      <c r="D291" s="17" t="e" cm="1">
        <f t="array" ref="D291">_xlfn.IFS(AND(InvestorTable[[#This Row],[Investor Tally '#]] = 'Payment Tracker'!$A291, 'Payment Tracker'!$C291="Dividend") = TRUE, InvestorTable[[#This Row],[Monthly ROI (₦)]], AND(InvestorTable[[#This Row],[Investor Tally '#]] = 'Payment Tracker'!$A291, 'Payment Tracker'!$C291="Capital") = TRUE, InvestorTable[[#This Row],[Investment Capital (₦)]], AND(InvestorTable[[#This Row],[Investor Tally '#]] = 'Payment Tracker'!$A291, 'Payment Tracker'!$C291="Refund") = TRUE, InvestorTable[[#This Row],[Investment Capital (₦)]] )</f>
        <v>#N/A</v>
      </c>
      <c r="E291" s="15"/>
      <c r="F291" s="14"/>
      <c r="G291" s="14"/>
      <c r="H291" s="14"/>
    </row>
    <row r="292" spans="1:8" x14ac:dyDescent="0.3">
      <c r="A292" s="13"/>
      <c r="B292" s="16">
        <f>IF($A292=InvestorTable[[#This Row],[Investor Tally '#]],InvestorTable[[#This Row],[Investor Name]], NA())</f>
        <v>0</v>
      </c>
      <c r="C292" s="14"/>
      <c r="D292" s="17" t="e" cm="1">
        <f t="array" ref="D292">_xlfn.IFS(AND(InvestorTable[[#This Row],[Investor Tally '#]] = 'Payment Tracker'!$A292, 'Payment Tracker'!$C292="Dividend") = TRUE, InvestorTable[[#This Row],[Monthly ROI (₦)]], AND(InvestorTable[[#This Row],[Investor Tally '#]] = 'Payment Tracker'!$A292, 'Payment Tracker'!$C292="Capital") = TRUE, InvestorTable[[#This Row],[Investment Capital (₦)]], AND(InvestorTable[[#This Row],[Investor Tally '#]] = 'Payment Tracker'!$A292, 'Payment Tracker'!$C292="Refund") = TRUE, InvestorTable[[#This Row],[Investment Capital (₦)]] )</f>
        <v>#N/A</v>
      </c>
      <c r="E292" s="15"/>
      <c r="F292" s="14"/>
      <c r="G292" s="14"/>
      <c r="H292" s="14"/>
    </row>
    <row r="293" spans="1:8" x14ac:dyDescent="0.3">
      <c r="A293" s="13"/>
      <c r="B293" s="16">
        <f>IF($A293=InvestorTable[[#This Row],[Investor Tally '#]],InvestorTable[[#This Row],[Investor Name]], NA())</f>
        <v>0</v>
      </c>
      <c r="C293" s="14"/>
      <c r="D293" s="17" t="e" cm="1">
        <f t="array" ref="D293">_xlfn.IFS(AND(InvestorTable[[#This Row],[Investor Tally '#]] = 'Payment Tracker'!$A293, 'Payment Tracker'!$C293="Dividend") = TRUE, InvestorTable[[#This Row],[Monthly ROI (₦)]], AND(InvestorTable[[#This Row],[Investor Tally '#]] = 'Payment Tracker'!$A293, 'Payment Tracker'!$C293="Capital") = TRUE, InvestorTable[[#This Row],[Investment Capital (₦)]], AND(InvestorTable[[#This Row],[Investor Tally '#]] = 'Payment Tracker'!$A293, 'Payment Tracker'!$C293="Refund") = TRUE, InvestorTable[[#This Row],[Investment Capital (₦)]] )</f>
        <v>#N/A</v>
      </c>
      <c r="E293" s="15"/>
      <c r="F293" s="14"/>
      <c r="G293" s="14"/>
      <c r="H293" s="14"/>
    </row>
    <row r="294" spans="1:8" x14ac:dyDescent="0.3">
      <c r="A294" s="13"/>
      <c r="B294" s="16">
        <f>IF($A294=InvestorTable[[#This Row],[Investor Tally '#]],InvestorTable[[#This Row],[Investor Name]], NA())</f>
        <v>0</v>
      </c>
      <c r="C294" s="14"/>
      <c r="D294" s="17" t="e" cm="1">
        <f t="array" ref="D294">_xlfn.IFS(AND(InvestorTable[[#This Row],[Investor Tally '#]] = 'Payment Tracker'!$A294, 'Payment Tracker'!$C294="Dividend") = TRUE, InvestorTable[[#This Row],[Monthly ROI (₦)]], AND(InvestorTable[[#This Row],[Investor Tally '#]] = 'Payment Tracker'!$A294, 'Payment Tracker'!$C294="Capital") = TRUE, InvestorTable[[#This Row],[Investment Capital (₦)]], AND(InvestorTable[[#This Row],[Investor Tally '#]] = 'Payment Tracker'!$A294, 'Payment Tracker'!$C294="Refund") = TRUE, InvestorTable[[#This Row],[Investment Capital (₦)]] )</f>
        <v>#N/A</v>
      </c>
      <c r="E294" s="15"/>
      <c r="F294" s="14"/>
      <c r="G294" s="14"/>
      <c r="H294" s="14"/>
    </row>
    <row r="295" spans="1:8" x14ac:dyDescent="0.3">
      <c r="A295" s="13"/>
      <c r="B295" s="16">
        <f>IF($A295=InvestorTable[[#This Row],[Investor Tally '#]],InvestorTable[[#This Row],[Investor Name]], NA())</f>
        <v>0</v>
      </c>
      <c r="C295" s="14"/>
      <c r="D295" s="17" t="e" cm="1">
        <f t="array" ref="D295">_xlfn.IFS(AND(InvestorTable[[#This Row],[Investor Tally '#]] = 'Payment Tracker'!$A295, 'Payment Tracker'!$C295="Dividend") = TRUE, InvestorTable[[#This Row],[Monthly ROI (₦)]], AND(InvestorTable[[#This Row],[Investor Tally '#]] = 'Payment Tracker'!$A295, 'Payment Tracker'!$C295="Capital") = TRUE, InvestorTable[[#This Row],[Investment Capital (₦)]], AND(InvestorTable[[#This Row],[Investor Tally '#]] = 'Payment Tracker'!$A295, 'Payment Tracker'!$C295="Refund") = TRUE, InvestorTable[[#This Row],[Investment Capital (₦)]] )</f>
        <v>#N/A</v>
      </c>
      <c r="E295" s="15"/>
      <c r="F295" s="14"/>
      <c r="G295" s="14"/>
      <c r="H295" s="14"/>
    </row>
    <row r="296" spans="1:8" x14ac:dyDescent="0.3">
      <c r="A296" s="13"/>
      <c r="B296" s="16">
        <f>IF($A296=InvestorTable[[#This Row],[Investor Tally '#]],InvestorTable[[#This Row],[Investor Name]], NA())</f>
        <v>0</v>
      </c>
      <c r="C296" s="14"/>
      <c r="D296" s="17" t="e" cm="1">
        <f t="array" ref="D296">_xlfn.IFS(AND(InvestorTable[[#This Row],[Investor Tally '#]] = 'Payment Tracker'!$A296, 'Payment Tracker'!$C296="Dividend") = TRUE, InvestorTable[[#This Row],[Monthly ROI (₦)]], AND(InvestorTable[[#This Row],[Investor Tally '#]] = 'Payment Tracker'!$A296, 'Payment Tracker'!$C296="Capital") = TRUE, InvestorTable[[#This Row],[Investment Capital (₦)]], AND(InvestorTable[[#This Row],[Investor Tally '#]] = 'Payment Tracker'!$A296, 'Payment Tracker'!$C296="Refund") = TRUE, InvestorTable[[#This Row],[Investment Capital (₦)]] )</f>
        <v>#N/A</v>
      </c>
      <c r="E296" s="15"/>
      <c r="F296" s="14"/>
      <c r="G296" s="14"/>
      <c r="H296" s="14"/>
    </row>
    <row r="297" spans="1:8" x14ac:dyDescent="0.3">
      <c r="A297" s="13"/>
      <c r="B297" s="16">
        <f>IF($A297=InvestorTable[[#This Row],[Investor Tally '#]],InvestorTable[[#This Row],[Investor Name]], NA())</f>
        <v>0</v>
      </c>
      <c r="C297" s="14"/>
      <c r="D297" s="17" t="e" cm="1">
        <f t="array" ref="D297">_xlfn.IFS(AND(InvestorTable[[#This Row],[Investor Tally '#]] = 'Payment Tracker'!$A297, 'Payment Tracker'!$C297="Dividend") = TRUE, InvestorTable[[#This Row],[Monthly ROI (₦)]], AND(InvestorTable[[#This Row],[Investor Tally '#]] = 'Payment Tracker'!$A297, 'Payment Tracker'!$C297="Capital") = TRUE, InvestorTable[[#This Row],[Investment Capital (₦)]], AND(InvestorTable[[#This Row],[Investor Tally '#]] = 'Payment Tracker'!$A297, 'Payment Tracker'!$C297="Refund") = TRUE, InvestorTable[[#This Row],[Investment Capital (₦)]] )</f>
        <v>#N/A</v>
      </c>
      <c r="E297" s="15"/>
      <c r="F297" s="14"/>
      <c r="G297" s="14"/>
      <c r="H297" s="14"/>
    </row>
    <row r="298" spans="1:8" x14ac:dyDescent="0.3">
      <c r="A298" s="13"/>
      <c r="B298" s="16">
        <f>IF($A298=InvestorTable[[#This Row],[Investor Tally '#]],InvestorTable[[#This Row],[Investor Name]], NA())</f>
        <v>0</v>
      </c>
      <c r="C298" s="14"/>
      <c r="D298" s="17" t="e" cm="1">
        <f t="array" ref="D298">_xlfn.IFS(AND(InvestorTable[[#This Row],[Investor Tally '#]] = 'Payment Tracker'!$A298, 'Payment Tracker'!$C298="Dividend") = TRUE, InvestorTable[[#This Row],[Monthly ROI (₦)]], AND(InvestorTable[[#This Row],[Investor Tally '#]] = 'Payment Tracker'!$A298, 'Payment Tracker'!$C298="Capital") = TRUE, InvestorTable[[#This Row],[Investment Capital (₦)]], AND(InvestorTable[[#This Row],[Investor Tally '#]] = 'Payment Tracker'!$A298, 'Payment Tracker'!$C298="Refund") = TRUE, InvestorTable[[#This Row],[Investment Capital (₦)]] )</f>
        <v>#N/A</v>
      </c>
      <c r="E298" s="15"/>
      <c r="F298" s="14"/>
      <c r="G298" s="14"/>
      <c r="H298" s="14"/>
    </row>
    <row r="299" spans="1:8" x14ac:dyDescent="0.3">
      <c r="A299" s="13"/>
      <c r="B299" s="16">
        <f>IF($A299=InvestorTable[[#This Row],[Investor Tally '#]],InvestorTable[[#This Row],[Investor Name]], NA())</f>
        <v>0</v>
      </c>
      <c r="C299" s="14"/>
      <c r="D299" s="17" t="e" cm="1">
        <f t="array" ref="D299">_xlfn.IFS(AND(InvestorTable[[#This Row],[Investor Tally '#]] = 'Payment Tracker'!$A299, 'Payment Tracker'!$C299="Dividend") = TRUE, InvestorTable[[#This Row],[Monthly ROI (₦)]], AND(InvestorTable[[#This Row],[Investor Tally '#]] = 'Payment Tracker'!$A299, 'Payment Tracker'!$C299="Capital") = TRUE, InvestorTable[[#This Row],[Investment Capital (₦)]], AND(InvestorTable[[#This Row],[Investor Tally '#]] = 'Payment Tracker'!$A299, 'Payment Tracker'!$C299="Refund") = TRUE, InvestorTable[[#This Row],[Investment Capital (₦)]] )</f>
        <v>#N/A</v>
      </c>
      <c r="E299" s="15"/>
      <c r="F299" s="14"/>
      <c r="G299" s="14"/>
      <c r="H299" s="14"/>
    </row>
    <row r="300" spans="1:8" x14ac:dyDescent="0.3">
      <c r="A300" s="13"/>
      <c r="B300" s="16">
        <f>IF($A300=InvestorTable[[#This Row],[Investor Tally '#]],InvestorTable[[#This Row],[Investor Name]], NA())</f>
        <v>0</v>
      </c>
      <c r="C300" s="14"/>
      <c r="D300" s="17" t="e" cm="1">
        <f t="array" ref="D300">_xlfn.IFS(AND(InvestorTable[[#This Row],[Investor Tally '#]] = 'Payment Tracker'!$A300, 'Payment Tracker'!$C300="Dividend") = TRUE, InvestorTable[[#This Row],[Monthly ROI (₦)]], AND(InvestorTable[[#This Row],[Investor Tally '#]] = 'Payment Tracker'!$A300, 'Payment Tracker'!$C300="Capital") = TRUE, InvestorTable[[#This Row],[Investment Capital (₦)]], AND(InvestorTable[[#This Row],[Investor Tally '#]] = 'Payment Tracker'!$A300, 'Payment Tracker'!$C300="Refund") = TRUE, InvestorTable[[#This Row],[Investment Capital (₦)]] )</f>
        <v>#N/A</v>
      </c>
      <c r="E300" s="15"/>
      <c r="F300" s="14"/>
      <c r="G300" s="14"/>
      <c r="H300" s="14"/>
    </row>
    <row r="301" spans="1:8" x14ac:dyDescent="0.3">
      <c r="A301" s="13"/>
      <c r="B301" s="16">
        <f>IF($A301=InvestorTable[[#This Row],[Investor Tally '#]],InvestorTable[[#This Row],[Investor Name]], NA())</f>
        <v>0</v>
      </c>
      <c r="C301" s="14"/>
      <c r="D301" s="17" t="e" cm="1">
        <f t="array" ref="D301">_xlfn.IFS(AND(InvestorTable[[#This Row],[Investor Tally '#]] = 'Payment Tracker'!$A301, 'Payment Tracker'!$C301="Dividend") = TRUE, InvestorTable[[#This Row],[Monthly ROI (₦)]], AND(InvestorTable[[#This Row],[Investor Tally '#]] = 'Payment Tracker'!$A301, 'Payment Tracker'!$C301="Capital") = TRUE, InvestorTable[[#This Row],[Investment Capital (₦)]], AND(InvestorTable[[#This Row],[Investor Tally '#]] = 'Payment Tracker'!$A301, 'Payment Tracker'!$C301="Refund") = TRUE, InvestorTable[[#This Row],[Investment Capital (₦)]] )</f>
        <v>#N/A</v>
      </c>
      <c r="E301" s="15"/>
      <c r="F301" s="14"/>
      <c r="G301" s="14"/>
      <c r="H301" s="14"/>
    </row>
    <row r="302" spans="1:8" x14ac:dyDescent="0.3">
      <c r="A302" s="13"/>
      <c r="B302" s="16">
        <f>IF($A302=InvestorTable[[#This Row],[Investor Tally '#]],InvestorTable[[#This Row],[Investor Name]], NA())</f>
        <v>0</v>
      </c>
      <c r="C302" s="14"/>
      <c r="D302" s="17" t="e" cm="1">
        <f t="array" ref="D302">_xlfn.IFS(AND(InvestorTable[[#This Row],[Investor Tally '#]] = 'Payment Tracker'!$A302, 'Payment Tracker'!$C302="Dividend") = TRUE, InvestorTable[[#This Row],[Monthly ROI (₦)]], AND(InvestorTable[[#This Row],[Investor Tally '#]] = 'Payment Tracker'!$A302, 'Payment Tracker'!$C302="Capital") = TRUE, InvestorTable[[#This Row],[Investment Capital (₦)]], AND(InvestorTable[[#This Row],[Investor Tally '#]] = 'Payment Tracker'!$A302, 'Payment Tracker'!$C302="Refund") = TRUE, InvestorTable[[#This Row],[Investment Capital (₦)]] )</f>
        <v>#N/A</v>
      </c>
      <c r="E302" s="15"/>
      <c r="F302" s="14"/>
      <c r="G302" s="14"/>
      <c r="H302" s="14"/>
    </row>
    <row r="303" spans="1:8" x14ac:dyDescent="0.3">
      <c r="A303" s="13"/>
      <c r="B303" s="16">
        <f>IF($A303=InvestorTable[[#This Row],[Investor Tally '#]],InvestorTable[[#This Row],[Investor Name]], NA())</f>
        <v>0</v>
      </c>
      <c r="C303" s="14"/>
      <c r="D303" s="17" t="e" cm="1">
        <f t="array" ref="D303">_xlfn.IFS(AND(InvestorTable[[#This Row],[Investor Tally '#]] = 'Payment Tracker'!$A303, 'Payment Tracker'!$C303="Dividend") = TRUE, InvestorTable[[#This Row],[Monthly ROI (₦)]], AND(InvestorTable[[#This Row],[Investor Tally '#]] = 'Payment Tracker'!$A303, 'Payment Tracker'!$C303="Capital") = TRUE, InvestorTable[[#This Row],[Investment Capital (₦)]], AND(InvestorTable[[#This Row],[Investor Tally '#]] = 'Payment Tracker'!$A303, 'Payment Tracker'!$C303="Refund") = TRUE, InvestorTable[[#This Row],[Investment Capital (₦)]] )</f>
        <v>#N/A</v>
      </c>
      <c r="E303" s="15"/>
      <c r="F303" s="14"/>
      <c r="G303" s="14"/>
      <c r="H303" s="14"/>
    </row>
    <row r="304" spans="1:8" x14ac:dyDescent="0.3">
      <c r="A304" s="13"/>
      <c r="B304" s="16">
        <f>IF($A304=InvestorTable[[#This Row],[Investor Tally '#]],InvestorTable[[#This Row],[Investor Name]], NA())</f>
        <v>0</v>
      </c>
      <c r="C304" s="14"/>
      <c r="D304" s="17" t="e" cm="1">
        <f t="array" ref="D304">_xlfn.IFS(AND(InvestorTable[[#This Row],[Investor Tally '#]] = 'Payment Tracker'!$A304, 'Payment Tracker'!$C304="Dividend") = TRUE, InvestorTable[[#This Row],[Monthly ROI (₦)]], AND(InvestorTable[[#This Row],[Investor Tally '#]] = 'Payment Tracker'!$A304, 'Payment Tracker'!$C304="Capital") = TRUE, InvestorTable[[#This Row],[Investment Capital (₦)]], AND(InvestorTable[[#This Row],[Investor Tally '#]] = 'Payment Tracker'!$A304, 'Payment Tracker'!$C304="Refund") = TRUE, InvestorTable[[#This Row],[Investment Capital (₦)]] )</f>
        <v>#N/A</v>
      </c>
      <c r="E304" s="15"/>
      <c r="F304" s="14"/>
      <c r="G304" s="14"/>
      <c r="H304" s="14"/>
    </row>
    <row r="305" spans="1:8" x14ac:dyDescent="0.3">
      <c r="A305" s="13"/>
      <c r="B305" s="16">
        <f>IF($A305=InvestorTable[[#This Row],[Investor Tally '#]],InvestorTable[[#This Row],[Investor Name]], NA())</f>
        <v>0</v>
      </c>
      <c r="C305" s="14"/>
      <c r="D305" s="17" t="e" cm="1">
        <f t="array" ref="D305">_xlfn.IFS(AND(InvestorTable[[#This Row],[Investor Tally '#]] = 'Payment Tracker'!$A305, 'Payment Tracker'!$C305="Dividend") = TRUE, InvestorTable[[#This Row],[Monthly ROI (₦)]], AND(InvestorTable[[#This Row],[Investor Tally '#]] = 'Payment Tracker'!$A305, 'Payment Tracker'!$C305="Capital") = TRUE, InvestorTable[[#This Row],[Investment Capital (₦)]], AND(InvestorTable[[#This Row],[Investor Tally '#]] = 'Payment Tracker'!$A305, 'Payment Tracker'!$C305="Refund") = TRUE, InvestorTable[[#This Row],[Investment Capital (₦)]] )</f>
        <v>#N/A</v>
      </c>
      <c r="E305" s="15"/>
      <c r="F305" s="14"/>
      <c r="G305" s="14"/>
      <c r="H305" s="14"/>
    </row>
    <row r="306" spans="1:8" x14ac:dyDescent="0.3">
      <c r="A306" s="13"/>
      <c r="B306" s="16">
        <f>IF($A306=InvestorTable[[#This Row],[Investor Tally '#]],InvestorTable[[#This Row],[Investor Name]], NA())</f>
        <v>0</v>
      </c>
      <c r="C306" s="14"/>
      <c r="D306" s="17" t="e" cm="1">
        <f t="array" ref="D306">_xlfn.IFS(AND(InvestorTable[[#This Row],[Investor Tally '#]] = 'Payment Tracker'!$A306, 'Payment Tracker'!$C306="Dividend") = TRUE, InvestorTable[[#This Row],[Monthly ROI (₦)]], AND(InvestorTable[[#This Row],[Investor Tally '#]] = 'Payment Tracker'!$A306, 'Payment Tracker'!$C306="Capital") = TRUE, InvestorTable[[#This Row],[Investment Capital (₦)]], AND(InvestorTable[[#This Row],[Investor Tally '#]] = 'Payment Tracker'!$A306, 'Payment Tracker'!$C306="Refund") = TRUE, InvestorTable[[#This Row],[Investment Capital (₦)]] )</f>
        <v>#N/A</v>
      </c>
      <c r="E306" s="15"/>
      <c r="F306" s="14"/>
      <c r="G306" s="14"/>
      <c r="H306" s="14"/>
    </row>
    <row r="307" spans="1:8" x14ac:dyDescent="0.3">
      <c r="A307" s="13"/>
      <c r="B307" s="16">
        <f>IF($A307=InvestorTable[[#This Row],[Investor Tally '#]],InvestorTable[[#This Row],[Investor Name]], NA())</f>
        <v>0</v>
      </c>
      <c r="C307" s="14"/>
      <c r="D307" s="17" t="e" cm="1">
        <f t="array" ref="D307">_xlfn.IFS(AND(InvestorTable[[#This Row],[Investor Tally '#]] = 'Payment Tracker'!$A307, 'Payment Tracker'!$C307="Dividend") = TRUE, InvestorTable[[#This Row],[Monthly ROI (₦)]], AND(InvestorTable[[#This Row],[Investor Tally '#]] = 'Payment Tracker'!$A307, 'Payment Tracker'!$C307="Capital") = TRUE, InvestorTable[[#This Row],[Investment Capital (₦)]], AND(InvestorTable[[#This Row],[Investor Tally '#]] = 'Payment Tracker'!$A307, 'Payment Tracker'!$C307="Refund") = TRUE, InvestorTable[[#This Row],[Investment Capital (₦)]] )</f>
        <v>#N/A</v>
      </c>
      <c r="E307" s="15"/>
      <c r="F307" s="14"/>
      <c r="G307" s="14"/>
      <c r="H307" s="14"/>
    </row>
    <row r="308" spans="1:8" x14ac:dyDescent="0.3">
      <c r="A308" s="13"/>
      <c r="B308" s="16">
        <f>IF($A308=InvestorTable[[#This Row],[Investor Tally '#]],InvestorTable[[#This Row],[Investor Name]], NA())</f>
        <v>0</v>
      </c>
      <c r="C308" s="14"/>
      <c r="D308" s="17" t="e" cm="1">
        <f t="array" ref="D308">_xlfn.IFS(AND(InvestorTable[[#This Row],[Investor Tally '#]] = 'Payment Tracker'!$A308, 'Payment Tracker'!$C308="Dividend") = TRUE, InvestorTable[[#This Row],[Monthly ROI (₦)]], AND(InvestorTable[[#This Row],[Investor Tally '#]] = 'Payment Tracker'!$A308, 'Payment Tracker'!$C308="Capital") = TRUE, InvestorTable[[#This Row],[Investment Capital (₦)]], AND(InvestorTable[[#This Row],[Investor Tally '#]] = 'Payment Tracker'!$A308, 'Payment Tracker'!$C308="Refund") = TRUE, InvestorTable[[#This Row],[Investment Capital (₦)]] )</f>
        <v>#N/A</v>
      </c>
      <c r="E308" s="15"/>
      <c r="F308" s="14"/>
      <c r="G308" s="14"/>
      <c r="H308" s="14"/>
    </row>
    <row r="309" spans="1:8" x14ac:dyDescent="0.3">
      <c r="A309" s="13"/>
      <c r="B309" s="16">
        <f>IF($A309=InvestorTable[[#This Row],[Investor Tally '#]],InvestorTable[[#This Row],[Investor Name]], NA())</f>
        <v>0</v>
      </c>
      <c r="C309" s="14"/>
      <c r="D309" s="17" t="e" cm="1">
        <f t="array" ref="D309">_xlfn.IFS(AND(InvestorTable[[#This Row],[Investor Tally '#]] = 'Payment Tracker'!$A309, 'Payment Tracker'!$C309="Dividend") = TRUE, InvestorTable[[#This Row],[Monthly ROI (₦)]], AND(InvestorTable[[#This Row],[Investor Tally '#]] = 'Payment Tracker'!$A309, 'Payment Tracker'!$C309="Capital") = TRUE, InvestorTable[[#This Row],[Investment Capital (₦)]], AND(InvestorTable[[#This Row],[Investor Tally '#]] = 'Payment Tracker'!$A309, 'Payment Tracker'!$C309="Refund") = TRUE, InvestorTable[[#This Row],[Investment Capital (₦)]] )</f>
        <v>#N/A</v>
      </c>
      <c r="E309" s="15"/>
      <c r="F309" s="14"/>
      <c r="G309" s="14"/>
      <c r="H309" s="14"/>
    </row>
    <row r="310" spans="1:8" x14ac:dyDescent="0.3">
      <c r="A310" s="13"/>
      <c r="B310" s="16">
        <f>IF($A310=InvestorTable[[#This Row],[Investor Tally '#]],InvestorTable[[#This Row],[Investor Name]], NA())</f>
        <v>0</v>
      </c>
      <c r="C310" s="14"/>
      <c r="D310" s="17" t="e" cm="1">
        <f t="array" ref="D310">_xlfn.IFS(AND(InvestorTable[[#This Row],[Investor Tally '#]] = 'Payment Tracker'!$A310, 'Payment Tracker'!$C310="Dividend") = TRUE, InvestorTable[[#This Row],[Monthly ROI (₦)]], AND(InvestorTable[[#This Row],[Investor Tally '#]] = 'Payment Tracker'!$A310, 'Payment Tracker'!$C310="Capital") = TRUE, InvestorTable[[#This Row],[Investment Capital (₦)]], AND(InvestorTable[[#This Row],[Investor Tally '#]] = 'Payment Tracker'!$A310, 'Payment Tracker'!$C310="Refund") = TRUE, InvestorTable[[#This Row],[Investment Capital (₦)]] )</f>
        <v>#N/A</v>
      </c>
      <c r="E310" s="15"/>
      <c r="F310" s="14"/>
      <c r="G310" s="14"/>
      <c r="H310" s="14"/>
    </row>
    <row r="311" spans="1:8" x14ac:dyDescent="0.3">
      <c r="A311" s="13"/>
      <c r="B311" s="16">
        <f>IF($A311=InvestorTable[[#This Row],[Investor Tally '#]],InvestorTable[[#This Row],[Investor Name]], NA())</f>
        <v>0</v>
      </c>
      <c r="C311" s="14"/>
      <c r="D311" s="17" t="e" cm="1">
        <f t="array" ref="D311">_xlfn.IFS(AND(InvestorTable[[#This Row],[Investor Tally '#]] = 'Payment Tracker'!$A311, 'Payment Tracker'!$C311="Dividend") = TRUE, InvestorTable[[#This Row],[Monthly ROI (₦)]], AND(InvestorTable[[#This Row],[Investor Tally '#]] = 'Payment Tracker'!$A311, 'Payment Tracker'!$C311="Capital") = TRUE, InvestorTable[[#This Row],[Investment Capital (₦)]], AND(InvestorTable[[#This Row],[Investor Tally '#]] = 'Payment Tracker'!$A311, 'Payment Tracker'!$C311="Refund") = TRUE, InvestorTable[[#This Row],[Investment Capital (₦)]] )</f>
        <v>#N/A</v>
      </c>
      <c r="E311" s="15"/>
      <c r="F311" s="14"/>
      <c r="G311" s="14"/>
      <c r="H311" s="14"/>
    </row>
    <row r="312" spans="1:8" x14ac:dyDescent="0.3">
      <c r="A312" s="13"/>
      <c r="B312" s="16">
        <f>IF($A312=InvestorTable[[#This Row],[Investor Tally '#]],InvestorTable[[#This Row],[Investor Name]], NA())</f>
        <v>0</v>
      </c>
      <c r="C312" s="14"/>
      <c r="D312" s="17" t="e" cm="1">
        <f t="array" ref="D312">_xlfn.IFS(AND(InvestorTable[[#This Row],[Investor Tally '#]] = 'Payment Tracker'!$A312, 'Payment Tracker'!$C312="Dividend") = TRUE, InvestorTable[[#This Row],[Monthly ROI (₦)]], AND(InvestorTable[[#This Row],[Investor Tally '#]] = 'Payment Tracker'!$A312, 'Payment Tracker'!$C312="Capital") = TRUE, InvestorTable[[#This Row],[Investment Capital (₦)]], AND(InvestorTable[[#This Row],[Investor Tally '#]] = 'Payment Tracker'!$A312, 'Payment Tracker'!$C312="Refund") = TRUE, InvestorTable[[#This Row],[Investment Capital (₦)]] )</f>
        <v>#N/A</v>
      </c>
      <c r="E312" s="15"/>
      <c r="F312" s="14"/>
      <c r="G312" s="14"/>
      <c r="H312" s="14"/>
    </row>
    <row r="313" spans="1:8" x14ac:dyDescent="0.3">
      <c r="A313" s="13"/>
      <c r="B313" s="16">
        <f>IF($A313=InvestorTable[[#This Row],[Investor Tally '#]],InvestorTable[[#This Row],[Investor Name]], NA())</f>
        <v>0</v>
      </c>
      <c r="C313" s="14"/>
      <c r="D313" s="17" t="e" cm="1">
        <f t="array" ref="D313">_xlfn.IFS(AND(InvestorTable[[#This Row],[Investor Tally '#]] = 'Payment Tracker'!$A313, 'Payment Tracker'!$C313="Dividend") = TRUE, InvestorTable[[#This Row],[Monthly ROI (₦)]], AND(InvestorTable[[#This Row],[Investor Tally '#]] = 'Payment Tracker'!$A313, 'Payment Tracker'!$C313="Capital") = TRUE, InvestorTable[[#This Row],[Investment Capital (₦)]], AND(InvestorTable[[#This Row],[Investor Tally '#]] = 'Payment Tracker'!$A313, 'Payment Tracker'!$C313="Refund") = TRUE, InvestorTable[[#This Row],[Investment Capital (₦)]] )</f>
        <v>#N/A</v>
      </c>
      <c r="E313" s="15"/>
      <c r="F313" s="14"/>
      <c r="G313" s="14"/>
      <c r="H313" s="14"/>
    </row>
    <row r="314" spans="1:8" x14ac:dyDescent="0.3">
      <c r="A314" s="13"/>
      <c r="B314" s="16">
        <f>IF($A314=InvestorTable[[#This Row],[Investor Tally '#]],InvestorTable[[#This Row],[Investor Name]], NA())</f>
        <v>0</v>
      </c>
      <c r="C314" s="14"/>
      <c r="D314" s="17" t="e" cm="1">
        <f t="array" ref="D314">_xlfn.IFS(AND(InvestorTable[[#This Row],[Investor Tally '#]] = 'Payment Tracker'!$A314, 'Payment Tracker'!$C314="Dividend") = TRUE, InvestorTable[[#This Row],[Monthly ROI (₦)]], AND(InvestorTable[[#This Row],[Investor Tally '#]] = 'Payment Tracker'!$A314, 'Payment Tracker'!$C314="Capital") = TRUE, InvestorTable[[#This Row],[Investment Capital (₦)]], AND(InvestorTable[[#This Row],[Investor Tally '#]] = 'Payment Tracker'!$A314, 'Payment Tracker'!$C314="Refund") = TRUE, InvestorTable[[#This Row],[Investment Capital (₦)]] )</f>
        <v>#N/A</v>
      </c>
      <c r="E314" s="15"/>
      <c r="F314" s="14"/>
      <c r="G314" s="14"/>
      <c r="H314" s="14"/>
    </row>
    <row r="315" spans="1:8" x14ac:dyDescent="0.3">
      <c r="A315" s="13"/>
      <c r="B315" s="16">
        <f>IF($A315=InvestorTable[[#This Row],[Investor Tally '#]],InvestorTable[[#This Row],[Investor Name]], NA())</f>
        <v>0</v>
      </c>
      <c r="C315" s="14"/>
      <c r="D315" s="17" t="e" cm="1">
        <f t="array" ref="D315">_xlfn.IFS(AND(InvestorTable[[#This Row],[Investor Tally '#]] = 'Payment Tracker'!$A315, 'Payment Tracker'!$C315="Dividend") = TRUE, InvestorTable[[#This Row],[Monthly ROI (₦)]], AND(InvestorTable[[#This Row],[Investor Tally '#]] = 'Payment Tracker'!$A315, 'Payment Tracker'!$C315="Capital") = TRUE, InvestorTable[[#This Row],[Investment Capital (₦)]], AND(InvestorTable[[#This Row],[Investor Tally '#]] = 'Payment Tracker'!$A315, 'Payment Tracker'!$C315="Refund") = TRUE, InvestorTable[[#This Row],[Investment Capital (₦)]] )</f>
        <v>#N/A</v>
      </c>
      <c r="E315" s="15"/>
      <c r="F315" s="14"/>
      <c r="G315" s="14"/>
      <c r="H315" s="14"/>
    </row>
    <row r="316" spans="1:8" x14ac:dyDescent="0.3">
      <c r="A316" s="13"/>
      <c r="B316" s="16">
        <f>IF($A316=InvestorTable[[#This Row],[Investor Tally '#]],InvestorTable[[#This Row],[Investor Name]], NA())</f>
        <v>0</v>
      </c>
      <c r="C316" s="14"/>
      <c r="D316" s="17" t="e" cm="1">
        <f t="array" ref="D316">_xlfn.IFS(AND(InvestorTable[[#This Row],[Investor Tally '#]] = 'Payment Tracker'!$A316, 'Payment Tracker'!$C316="Dividend") = TRUE, InvestorTable[[#This Row],[Monthly ROI (₦)]], AND(InvestorTable[[#This Row],[Investor Tally '#]] = 'Payment Tracker'!$A316, 'Payment Tracker'!$C316="Capital") = TRUE, InvestorTable[[#This Row],[Investment Capital (₦)]], AND(InvestorTable[[#This Row],[Investor Tally '#]] = 'Payment Tracker'!$A316, 'Payment Tracker'!$C316="Refund") = TRUE, InvestorTable[[#This Row],[Investment Capital (₦)]] )</f>
        <v>#N/A</v>
      </c>
      <c r="E316" s="15"/>
      <c r="F316" s="14"/>
      <c r="G316" s="14"/>
      <c r="H316" s="14"/>
    </row>
    <row r="317" spans="1:8" x14ac:dyDescent="0.3">
      <c r="A317" s="13"/>
      <c r="B317" s="16">
        <f>IF($A317=InvestorTable[[#This Row],[Investor Tally '#]],InvestorTable[[#This Row],[Investor Name]], NA())</f>
        <v>0</v>
      </c>
      <c r="C317" s="14"/>
      <c r="D317" s="17" t="e" cm="1">
        <f t="array" ref="D317">_xlfn.IFS(AND(InvestorTable[[#This Row],[Investor Tally '#]] = 'Payment Tracker'!$A317, 'Payment Tracker'!$C317="Dividend") = TRUE, InvestorTable[[#This Row],[Monthly ROI (₦)]], AND(InvestorTable[[#This Row],[Investor Tally '#]] = 'Payment Tracker'!$A317, 'Payment Tracker'!$C317="Capital") = TRUE, InvestorTable[[#This Row],[Investment Capital (₦)]], AND(InvestorTable[[#This Row],[Investor Tally '#]] = 'Payment Tracker'!$A317, 'Payment Tracker'!$C317="Refund") = TRUE, InvestorTable[[#This Row],[Investment Capital (₦)]] )</f>
        <v>#N/A</v>
      </c>
      <c r="E317" s="15"/>
      <c r="F317" s="14"/>
      <c r="G317" s="14"/>
      <c r="H317" s="14"/>
    </row>
    <row r="318" spans="1:8" x14ac:dyDescent="0.3">
      <c r="A318" s="13"/>
      <c r="B318" s="16">
        <f>IF($A318=InvestorTable[[#This Row],[Investor Tally '#]],InvestorTable[[#This Row],[Investor Name]], NA())</f>
        <v>0</v>
      </c>
      <c r="C318" s="14"/>
      <c r="D318" s="17" t="e" cm="1">
        <f t="array" ref="D318">_xlfn.IFS(AND(InvestorTable[[#This Row],[Investor Tally '#]] = 'Payment Tracker'!$A318, 'Payment Tracker'!$C318="Dividend") = TRUE, InvestorTable[[#This Row],[Monthly ROI (₦)]], AND(InvestorTable[[#This Row],[Investor Tally '#]] = 'Payment Tracker'!$A318, 'Payment Tracker'!$C318="Capital") = TRUE, InvestorTable[[#This Row],[Investment Capital (₦)]], AND(InvestorTable[[#This Row],[Investor Tally '#]] = 'Payment Tracker'!$A318, 'Payment Tracker'!$C318="Refund") = TRUE, InvestorTable[[#This Row],[Investment Capital (₦)]] )</f>
        <v>#N/A</v>
      </c>
      <c r="E318" s="15"/>
      <c r="F318" s="14"/>
      <c r="G318" s="14"/>
      <c r="H318" s="14"/>
    </row>
    <row r="319" spans="1:8" x14ac:dyDescent="0.3">
      <c r="A319" s="13"/>
      <c r="B319" s="16">
        <f>IF($A319=InvestorTable[[#This Row],[Investor Tally '#]],InvestorTable[[#This Row],[Investor Name]], NA())</f>
        <v>0</v>
      </c>
      <c r="C319" s="14"/>
      <c r="D319" s="17" t="e" cm="1">
        <f t="array" ref="D319">_xlfn.IFS(AND(InvestorTable[[#This Row],[Investor Tally '#]] = 'Payment Tracker'!$A319, 'Payment Tracker'!$C319="Dividend") = TRUE, InvestorTable[[#This Row],[Monthly ROI (₦)]], AND(InvestorTable[[#This Row],[Investor Tally '#]] = 'Payment Tracker'!$A319, 'Payment Tracker'!$C319="Capital") = TRUE, InvestorTable[[#This Row],[Investment Capital (₦)]], AND(InvestorTable[[#This Row],[Investor Tally '#]] = 'Payment Tracker'!$A319, 'Payment Tracker'!$C319="Refund") = TRUE, InvestorTable[[#This Row],[Investment Capital (₦)]] )</f>
        <v>#N/A</v>
      </c>
      <c r="E319" s="15"/>
      <c r="F319" s="14"/>
      <c r="G319" s="14"/>
      <c r="H319" s="14"/>
    </row>
    <row r="320" spans="1:8" x14ac:dyDescent="0.3">
      <c r="A320" s="13"/>
      <c r="B320" s="16">
        <f>IF($A320=InvestorTable[[#This Row],[Investor Tally '#]],InvestorTable[[#This Row],[Investor Name]], NA())</f>
        <v>0</v>
      </c>
      <c r="C320" s="14"/>
      <c r="D320" s="17" t="e" cm="1">
        <f t="array" ref="D320">_xlfn.IFS(AND(InvestorTable[[#This Row],[Investor Tally '#]] = 'Payment Tracker'!$A320, 'Payment Tracker'!$C320="Dividend") = TRUE, InvestorTable[[#This Row],[Monthly ROI (₦)]], AND(InvestorTable[[#This Row],[Investor Tally '#]] = 'Payment Tracker'!$A320, 'Payment Tracker'!$C320="Capital") = TRUE, InvestorTable[[#This Row],[Investment Capital (₦)]], AND(InvestorTable[[#This Row],[Investor Tally '#]] = 'Payment Tracker'!$A320, 'Payment Tracker'!$C320="Refund") = TRUE, InvestorTable[[#This Row],[Investment Capital (₦)]] )</f>
        <v>#N/A</v>
      </c>
      <c r="E320" s="15"/>
      <c r="F320" s="14"/>
      <c r="G320" s="14"/>
      <c r="H320" s="14"/>
    </row>
    <row r="321" spans="1:8" x14ac:dyDescent="0.3">
      <c r="A321" s="13"/>
      <c r="B321" s="16">
        <f>IF($A321=InvestorTable[[#This Row],[Investor Tally '#]],InvestorTable[[#This Row],[Investor Name]], NA())</f>
        <v>0</v>
      </c>
      <c r="C321" s="14"/>
      <c r="D321" s="17" t="e" cm="1">
        <f t="array" ref="D321">_xlfn.IFS(AND(InvestorTable[[#This Row],[Investor Tally '#]] = 'Payment Tracker'!$A321, 'Payment Tracker'!$C321="Dividend") = TRUE, InvestorTable[[#This Row],[Monthly ROI (₦)]], AND(InvestorTable[[#This Row],[Investor Tally '#]] = 'Payment Tracker'!$A321, 'Payment Tracker'!$C321="Capital") = TRUE, InvestorTable[[#This Row],[Investment Capital (₦)]], AND(InvestorTable[[#This Row],[Investor Tally '#]] = 'Payment Tracker'!$A321, 'Payment Tracker'!$C321="Refund") = TRUE, InvestorTable[[#This Row],[Investment Capital (₦)]] )</f>
        <v>#N/A</v>
      </c>
      <c r="E321" s="15"/>
      <c r="F321" s="14"/>
      <c r="G321" s="14"/>
      <c r="H321" s="14"/>
    </row>
    <row r="322" spans="1:8" x14ac:dyDescent="0.3">
      <c r="A322" s="13"/>
      <c r="B322" s="16">
        <f>IF($A322=InvestorTable[[#This Row],[Investor Tally '#]],InvestorTable[[#This Row],[Investor Name]], NA())</f>
        <v>0</v>
      </c>
      <c r="C322" s="14"/>
      <c r="D322" s="17" t="e" cm="1">
        <f t="array" ref="D322">_xlfn.IFS(AND(InvestorTable[[#This Row],[Investor Tally '#]] = 'Payment Tracker'!$A322, 'Payment Tracker'!$C322="Dividend") = TRUE, InvestorTable[[#This Row],[Monthly ROI (₦)]], AND(InvestorTable[[#This Row],[Investor Tally '#]] = 'Payment Tracker'!$A322, 'Payment Tracker'!$C322="Capital") = TRUE, InvestorTable[[#This Row],[Investment Capital (₦)]], AND(InvestorTable[[#This Row],[Investor Tally '#]] = 'Payment Tracker'!$A322, 'Payment Tracker'!$C322="Refund") = TRUE, InvestorTable[[#This Row],[Investment Capital (₦)]] )</f>
        <v>#N/A</v>
      </c>
      <c r="E322" s="15"/>
      <c r="F322" s="14"/>
      <c r="G322" s="14"/>
      <c r="H322" s="14"/>
    </row>
    <row r="323" spans="1:8" x14ac:dyDescent="0.3">
      <c r="A323" s="13"/>
      <c r="B323" s="16">
        <f>IF($A323=InvestorTable[[#This Row],[Investor Tally '#]],InvestorTable[[#This Row],[Investor Name]], NA())</f>
        <v>0</v>
      </c>
      <c r="C323" s="14"/>
      <c r="D323" s="17" t="e" cm="1">
        <f t="array" ref="D323">_xlfn.IFS(AND(InvestorTable[[#This Row],[Investor Tally '#]] = 'Payment Tracker'!$A323, 'Payment Tracker'!$C323="Dividend") = TRUE, InvestorTable[[#This Row],[Monthly ROI (₦)]], AND(InvestorTable[[#This Row],[Investor Tally '#]] = 'Payment Tracker'!$A323, 'Payment Tracker'!$C323="Capital") = TRUE, InvestorTable[[#This Row],[Investment Capital (₦)]], AND(InvestorTable[[#This Row],[Investor Tally '#]] = 'Payment Tracker'!$A323, 'Payment Tracker'!$C323="Refund") = TRUE, InvestorTable[[#This Row],[Investment Capital (₦)]] )</f>
        <v>#N/A</v>
      </c>
      <c r="E323" s="15"/>
      <c r="F323" s="14"/>
      <c r="G323" s="14"/>
      <c r="H323" s="14"/>
    </row>
    <row r="324" spans="1:8" x14ac:dyDescent="0.3">
      <c r="A324" s="13"/>
      <c r="B324" s="16">
        <f>IF($A324=InvestorTable[[#This Row],[Investor Tally '#]],InvestorTable[[#This Row],[Investor Name]], NA())</f>
        <v>0</v>
      </c>
      <c r="C324" s="14"/>
      <c r="D324" s="17" t="e" cm="1">
        <f t="array" ref="D324">_xlfn.IFS(AND(InvestorTable[[#This Row],[Investor Tally '#]] = 'Payment Tracker'!$A324, 'Payment Tracker'!$C324="Dividend") = TRUE, InvestorTable[[#This Row],[Monthly ROI (₦)]], AND(InvestorTable[[#This Row],[Investor Tally '#]] = 'Payment Tracker'!$A324, 'Payment Tracker'!$C324="Capital") = TRUE, InvestorTable[[#This Row],[Investment Capital (₦)]], AND(InvestorTable[[#This Row],[Investor Tally '#]] = 'Payment Tracker'!$A324, 'Payment Tracker'!$C324="Refund") = TRUE, InvestorTable[[#This Row],[Investment Capital (₦)]] )</f>
        <v>#N/A</v>
      </c>
      <c r="E324" s="15"/>
      <c r="F324" s="14"/>
      <c r="G324" s="14"/>
      <c r="H324" s="14"/>
    </row>
    <row r="325" spans="1:8" x14ac:dyDescent="0.3">
      <c r="A325" s="13"/>
      <c r="B325" s="16">
        <f>IF($A325=InvestorTable[[#This Row],[Investor Tally '#]],InvestorTable[[#This Row],[Investor Name]], NA())</f>
        <v>0</v>
      </c>
      <c r="C325" s="14"/>
      <c r="D325" s="17" t="e" cm="1">
        <f t="array" ref="D325">_xlfn.IFS(AND(InvestorTable[[#This Row],[Investor Tally '#]] = 'Payment Tracker'!$A325, 'Payment Tracker'!$C325="Dividend") = TRUE, InvestorTable[[#This Row],[Monthly ROI (₦)]], AND(InvestorTable[[#This Row],[Investor Tally '#]] = 'Payment Tracker'!$A325, 'Payment Tracker'!$C325="Capital") = TRUE, InvestorTable[[#This Row],[Investment Capital (₦)]], AND(InvestorTable[[#This Row],[Investor Tally '#]] = 'Payment Tracker'!$A325, 'Payment Tracker'!$C325="Refund") = TRUE, InvestorTable[[#This Row],[Investment Capital (₦)]] )</f>
        <v>#N/A</v>
      </c>
      <c r="E325" s="15"/>
      <c r="F325" s="14"/>
      <c r="G325" s="14"/>
      <c r="H325" s="14"/>
    </row>
    <row r="326" spans="1:8" x14ac:dyDescent="0.3">
      <c r="A326" s="13"/>
      <c r="B326" s="16">
        <f>IF($A326=InvestorTable[[#This Row],[Investor Tally '#]],InvestorTable[[#This Row],[Investor Name]], NA())</f>
        <v>0</v>
      </c>
      <c r="C326" s="14"/>
      <c r="D326" s="17" t="e" cm="1">
        <f t="array" ref="D326">_xlfn.IFS(AND(InvestorTable[[#This Row],[Investor Tally '#]] = 'Payment Tracker'!$A326, 'Payment Tracker'!$C326="Dividend") = TRUE, InvestorTable[[#This Row],[Monthly ROI (₦)]], AND(InvestorTable[[#This Row],[Investor Tally '#]] = 'Payment Tracker'!$A326, 'Payment Tracker'!$C326="Capital") = TRUE, InvestorTable[[#This Row],[Investment Capital (₦)]], AND(InvestorTable[[#This Row],[Investor Tally '#]] = 'Payment Tracker'!$A326, 'Payment Tracker'!$C326="Refund") = TRUE, InvestorTable[[#This Row],[Investment Capital (₦)]] )</f>
        <v>#N/A</v>
      </c>
      <c r="E326" s="15"/>
      <c r="F326" s="14"/>
      <c r="G326" s="14"/>
      <c r="H326" s="14"/>
    </row>
    <row r="327" spans="1:8" x14ac:dyDescent="0.3">
      <c r="A327" s="13"/>
      <c r="B327" s="16">
        <f>IF($A327=InvestorTable[[#This Row],[Investor Tally '#]],InvestorTable[[#This Row],[Investor Name]], NA())</f>
        <v>0</v>
      </c>
      <c r="C327" s="14"/>
      <c r="D327" s="17" t="e" cm="1">
        <f t="array" ref="D327">_xlfn.IFS(AND(InvestorTable[[#This Row],[Investor Tally '#]] = 'Payment Tracker'!$A327, 'Payment Tracker'!$C327="Dividend") = TRUE, InvestorTable[[#This Row],[Monthly ROI (₦)]], AND(InvestorTable[[#This Row],[Investor Tally '#]] = 'Payment Tracker'!$A327, 'Payment Tracker'!$C327="Capital") = TRUE, InvestorTable[[#This Row],[Investment Capital (₦)]], AND(InvestorTable[[#This Row],[Investor Tally '#]] = 'Payment Tracker'!$A327, 'Payment Tracker'!$C327="Refund") = TRUE, InvestorTable[[#This Row],[Investment Capital (₦)]] )</f>
        <v>#N/A</v>
      </c>
      <c r="E327" s="15"/>
      <c r="F327" s="14"/>
      <c r="G327" s="14"/>
      <c r="H327" s="14"/>
    </row>
    <row r="328" spans="1:8" x14ac:dyDescent="0.3">
      <c r="A328" s="13"/>
      <c r="B328" s="16">
        <f>IF($A328=InvestorTable[[#This Row],[Investor Tally '#]],InvestorTable[[#This Row],[Investor Name]], NA())</f>
        <v>0</v>
      </c>
      <c r="C328" s="14"/>
      <c r="D328" s="17" t="e" cm="1">
        <f t="array" ref="D328">_xlfn.IFS(AND(InvestorTable[[#This Row],[Investor Tally '#]] = 'Payment Tracker'!$A328, 'Payment Tracker'!$C328="Dividend") = TRUE, InvestorTable[[#This Row],[Monthly ROI (₦)]], AND(InvestorTable[[#This Row],[Investor Tally '#]] = 'Payment Tracker'!$A328, 'Payment Tracker'!$C328="Capital") = TRUE, InvestorTable[[#This Row],[Investment Capital (₦)]], AND(InvestorTable[[#This Row],[Investor Tally '#]] = 'Payment Tracker'!$A328, 'Payment Tracker'!$C328="Refund") = TRUE, InvestorTable[[#This Row],[Investment Capital (₦)]] )</f>
        <v>#N/A</v>
      </c>
      <c r="E328" s="15"/>
      <c r="F328" s="14"/>
      <c r="G328" s="14"/>
      <c r="H328" s="14"/>
    </row>
    <row r="329" spans="1:8" x14ac:dyDescent="0.3">
      <c r="A329" s="13"/>
      <c r="B329" s="16">
        <f>IF($A329=InvestorTable[[#This Row],[Investor Tally '#]],InvestorTable[[#This Row],[Investor Name]], NA())</f>
        <v>0</v>
      </c>
      <c r="C329" s="14"/>
      <c r="D329" s="17" t="e" cm="1">
        <f t="array" ref="D329">_xlfn.IFS(AND(InvestorTable[[#This Row],[Investor Tally '#]] = 'Payment Tracker'!$A329, 'Payment Tracker'!$C329="Dividend") = TRUE, InvestorTable[[#This Row],[Monthly ROI (₦)]], AND(InvestorTable[[#This Row],[Investor Tally '#]] = 'Payment Tracker'!$A329, 'Payment Tracker'!$C329="Capital") = TRUE, InvestorTable[[#This Row],[Investment Capital (₦)]], AND(InvestorTable[[#This Row],[Investor Tally '#]] = 'Payment Tracker'!$A329, 'Payment Tracker'!$C329="Refund") = TRUE, InvestorTable[[#This Row],[Investment Capital (₦)]] )</f>
        <v>#N/A</v>
      </c>
      <c r="E329" s="15"/>
      <c r="F329" s="14"/>
      <c r="G329" s="14"/>
      <c r="H329" s="14"/>
    </row>
    <row r="330" spans="1:8" x14ac:dyDescent="0.3">
      <c r="A330" s="13"/>
      <c r="B330" s="16">
        <f>IF($A330=InvestorTable[[#This Row],[Investor Tally '#]],InvestorTable[[#This Row],[Investor Name]], NA())</f>
        <v>0</v>
      </c>
      <c r="C330" s="14"/>
      <c r="D330" s="17" t="e" cm="1">
        <f t="array" ref="D330">_xlfn.IFS(AND(InvestorTable[[#This Row],[Investor Tally '#]] = 'Payment Tracker'!$A330, 'Payment Tracker'!$C330="Dividend") = TRUE, InvestorTable[[#This Row],[Monthly ROI (₦)]], AND(InvestorTable[[#This Row],[Investor Tally '#]] = 'Payment Tracker'!$A330, 'Payment Tracker'!$C330="Capital") = TRUE, InvestorTable[[#This Row],[Investment Capital (₦)]], AND(InvestorTable[[#This Row],[Investor Tally '#]] = 'Payment Tracker'!$A330, 'Payment Tracker'!$C330="Refund") = TRUE, InvestorTable[[#This Row],[Investment Capital (₦)]] )</f>
        <v>#N/A</v>
      </c>
      <c r="E330" s="15"/>
      <c r="F330" s="14"/>
      <c r="G330" s="14"/>
      <c r="H330" s="14"/>
    </row>
    <row r="331" spans="1:8" x14ac:dyDescent="0.3">
      <c r="A331" s="13"/>
      <c r="B331" s="16">
        <f>IF($A331=InvestorTable[[#This Row],[Investor Tally '#]],InvestorTable[[#This Row],[Investor Name]], NA())</f>
        <v>0</v>
      </c>
      <c r="C331" s="14"/>
      <c r="D331" s="17" t="e" cm="1">
        <f t="array" ref="D331">_xlfn.IFS(AND(InvestorTable[[#This Row],[Investor Tally '#]] = 'Payment Tracker'!$A331, 'Payment Tracker'!$C331="Dividend") = TRUE, InvestorTable[[#This Row],[Monthly ROI (₦)]], AND(InvestorTable[[#This Row],[Investor Tally '#]] = 'Payment Tracker'!$A331, 'Payment Tracker'!$C331="Capital") = TRUE, InvestorTable[[#This Row],[Investment Capital (₦)]], AND(InvestorTable[[#This Row],[Investor Tally '#]] = 'Payment Tracker'!$A331, 'Payment Tracker'!$C331="Refund") = TRUE, InvestorTable[[#This Row],[Investment Capital (₦)]] )</f>
        <v>#N/A</v>
      </c>
      <c r="E331" s="15"/>
      <c r="F331" s="14"/>
      <c r="G331" s="14"/>
      <c r="H331" s="14"/>
    </row>
    <row r="332" spans="1:8" x14ac:dyDescent="0.3">
      <c r="A332" s="13"/>
      <c r="B332" s="16">
        <f>IF($A332=InvestorTable[[#This Row],[Investor Tally '#]],InvestorTable[[#This Row],[Investor Name]], NA())</f>
        <v>0</v>
      </c>
      <c r="C332" s="14"/>
      <c r="D332" s="17" t="e" cm="1">
        <f t="array" ref="D332">_xlfn.IFS(AND(InvestorTable[[#This Row],[Investor Tally '#]] = 'Payment Tracker'!$A332, 'Payment Tracker'!$C332="Dividend") = TRUE, InvestorTable[[#This Row],[Monthly ROI (₦)]], AND(InvestorTable[[#This Row],[Investor Tally '#]] = 'Payment Tracker'!$A332, 'Payment Tracker'!$C332="Capital") = TRUE, InvestorTable[[#This Row],[Investment Capital (₦)]], AND(InvestorTable[[#This Row],[Investor Tally '#]] = 'Payment Tracker'!$A332, 'Payment Tracker'!$C332="Refund") = TRUE, InvestorTable[[#This Row],[Investment Capital (₦)]] )</f>
        <v>#N/A</v>
      </c>
      <c r="E332" s="15"/>
      <c r="F332" s="14"/>
      <c r="G332" s="14"/>
      <c r="H332" s="14"/>
    </row>
    <row r="333" spans="1:8" x14ac:dyDescent="0.3">
      <c r="A333" s="13"/>
      <c r="B333" s="16">
        <f>IF($A333=InvestorTable[[#This Row],[Investor Tally '#]],InvestorTable[[#This Row],[Investor Name]], NA())</f>
        <v>0</v>
      </c>
      <c r="C333" s="14"/>
      <c r="D333" s="17" t="e" cm="1">
        <f t="array" ref="D333">_xlfn.IFS(AND(InvestorTable[[#This Row],[Investor Tally '#]] = 'Payment Tracker'!$A333, 'Payment Tracker'!$C333="Dividend") = TRUE, InvestorTable[[#This Row],[Monthly ROI (₦)]], AND(InvestorTable[[#This Row],[Investor Tally '#]] = 'Payment Tracker'!$A333, 'Payment Tracker'!$C333="Capital") = TRUE, InvestorTable[[#This Row],[Investment Capital (₦)]], AND(InvestorTable[[#This Row],[Investor Tally '#]] = 'Payment Tracker'!$A333, 'Payment Tracker'!$C333="Refund") = TRUE, InvestorTable[[#This Row],[Investment Capital (₦)]] )</f>
        <v>#N/A</v>
      </c>
      <c r="E333" s="15"/>
      <c r="F333" s="14"/>
      <c r="G333" s="14"/>
      <c r="H333" s="14"/>
    </row>
    <row r="334" spans="1:8" x14ac:dyDescent="0.3">
      <c r="A334" s="13"/>
      <c r="B334" s="16">
        <f>IF($A334=InvestorTable[[#This Row],[Investor Tally '#]],InvestorTable[[#This Row],[Investor Name]], NA())</f>
        <v>0</v>
      </c>
      <c r="C334" s="14"/>
      <c r="D334" s="17" t="e" cm="1">
        <f t="array" ref="D334">_xlfn.IFS(AND(InvestorTable[[#This Row],[Investor Tally '#]] = 'Payment Tracker'!$A334, 'Payment Tracker'!$C334="Dividend") = TRUE, InvestorTable[[#This Row],[Monthly ROI (₦)]], AND(InvestorTable[[#This Row],[Investor Tally '#]] = 'Payment Tracker'!$A334, 'Payment Tracker'!$C334="Capital") = TRUE, InvestorTable[[#This Row],[Investment Capital (₦)]], AND(InvestorTable[[#This Row],[Investor Tally '#]] = 'Payment Tracker'!$A334, 'Payment Tracker'!$C334="Refund") = TRUE, InvestorTable[[#This Row],[Investment Capital (₦)]] )</f>
        <v>#N/A</v>
      </c>
      <c r="E334" s="15"/>
      <c r="F334" s="14"/>
      <c r="G334" s="14"/>
      <c r="H334" s="14"/>
    </row>
    <row r="335" spans="1:8" x14ac:dyDescent="0.3">
      <c r="A335" s="13"/>
      <c r="B335" s="16">
        <f>IF($A335=InvestorTable[[#This Row],[Investor Tally '#]],InvestorTable[[#This Row],[Investor Name]], NA())</f>
        <v>0</v>
      </c>
      <c r="C335" s="14"/>
      <c r="D335" s="17" t="e" cm="1">
        <f t="array" ref="D335">_xlfn.IFS(AND(InvestorTable[[#This Row],[Investor Tally '#]] = 'Payment Tracker'!$A335, 'Payment Tracker'!$C335="Dividend") = TRUE, InvestorTable[[#This Row],[Monthly ROI (₦)]], AND(InvestorTable[[#This Row],[Investor Tally '#]] = 'Payment Tracker'!$A335, 'Payment Tracker'!$C335="Capital") = TRUE, InvestorTable[[#This Row],[Investment Capital (₦)]], AND(InvestorTable[[#This Row],[Investor Tally '#]] = 'Payment Tracker'!$A335, 'Payment Tracker'!$C335="Refund") = TRUE, InvestorTable[[#This Row],[Investment Capital (₦)]] )</f>
        <v>#N/A</v>
      </c>
      <c r="E335" s="15"/>
      <c r="F335" s="14"/>
      <c r="G335" s="14"/>
      <c r="H335" s="14"/>
    </row>
    <row r="336" spans="1:8" x14ac:dyDescent="0.3">
      <c r="A336" s="13"/>
      <c r="B336" s="16">
        <f>IF($A336=InvestorTable[[#This Row],[Investor Tally '#]],InvestorTable[[#This Row],[Investor Name]], NA())</f>
        <v>0</v>
      </c>
      <c r="C336" s="14"/>
      <c r="D336" s="17" t="e" cm="1">
        <f t="array" ref="D336">_xlfn.IFS(AND(InvestorTable[[#This Row],[Investor Tally '#]] = 'Payment Tracker'!$A336, 'Payment Tracker'!$C336="Dividend") = TRUE, InvestorTable[[#This Row],[Monthly ROI (₦)]], AND(InvestorTable[[#This Row],[Investor Tally '#]] = 'Payment Tracker'!$A336, 'Payment Tracker'!$C336="Capital") = TRUE, InvestorTable[[#This Row],[Investment Capital (₦)]], AND(InvestorTable[[#This Row],[Investor Tally '#]] = 'Payment Tracker'!$A336, 'Payment Tracker'!$C336="Refund") = TRUE, InvestorTable[[#This Row],[Investment Capital (₦)]] )</f>
        <v>#N/A</v>
      </c>
      <c r="E336" s="15"/>
      <c r="F336" s="14"/>
      <c r="G336" s="14"/>
      <c r="H336" s="14"/>
    </row>
    <row r="337" spans="1:8" x14ac:dyDescent="0.3">
      <c r="A337" s="13"/>
      <c r="B337" s="16">
        <f>IF($A337=InvestorTable[[#This Row],[Investor Tally '#]],InvestorTable[[#This Row],[Investor Name]], NA())</f>
        <v>0</v>
      </c>
      <c r="C337" s="14"/>
      <c r="D337" s="17" t="e" cm="1">
        <f t="array" ref="D337">_xlfn.IFS(AND(InvestorTable[[#This Row],[Investor Tally '#]] = 'Payment Tracker'!$A337, 'Payment Tracker'!$C337="Dividend") = TRUE, InvestorTable[[#This Row],[Monthly ROI (₦)]], AND(InvestorTable[[#This Row],[Investor Tally '#]] = 'Payment Tracker'!$A337, 'Payment Tracker'!$C337="Capital") = TRUE, InvestorTable[[#This Row],[Investment Capital (₦)]], AND(InvestorTable[[#This Row],[Investor Tally '#]] = 'Payment Tracker'!$A337, 'Payment Tracker'!$C337="Refund") = TRUE, InvestorTable[[#This Row],[Investment Capital (₦)]] )</f>
        <v>#N/A</v>
      </c>
      <c r="E337" s="15"/>
      <c r="F337" s="14"/>
      <c r="G337" s="14"/>
      <c r="H337" s="14"/>
    </row>
    <row r="338" spans="1:8" x14ac:dyDescent="0.3">
      <c r="A338" s="13"/>
      <c r="B338" s="16">
        <f>IF($A338=InvestorTable[[#This Row],[Investor Tally '#]],InvestorTable[[#This Row],[Investor Name]], NA())</f>
        <v>0</v>
      </c>
      <c r="C338" s="14"/>
      <c r="D338" s="17" t="e" cm="1">
        <f t="array" ref="D338">_xlfn.IFS(AND(InvestorTable[[#This Row],[Investor Tally '#]] = 'Payment Tracker'!$A338, 'Payment Tracker'!$C338="Dividend") = TRUE, InvestorTable[[#This Row],[Monthly ROI (₦)]], AND(InvestorTable[[#This Row],[Investor Tally '#]] = 'Payment Tracker'!$A338, 'Payment Tracker'!$C338="Capital") = TRUE, InvestorTable[[#This Row],[Investment Capital (₦)]], AND(InvestorTable[[#This Row],[Investor Tally '#]] = 'Payment Tracker'!$A338, 'Payment Tracker'!$C338="Refund") = TRUE, InvestorTable[[#This Row],[Investment Capital (₦)]] )</f>
        <v>#N/A</v>
      </c>
      <c r="E338" s="15"/>
      <c r="F338" s="14"/>
      <c r="G338" s="14"/>
      <c r="H338" s="14"/>
    </row>
    <row r="339" spans="1:8" x14ac:dyDescent="0.3">
      <c r="A339" s="13"/>
      <c r="B339" s="16">
        <f>IF($A339=InvestorTable[[#This Row],[Investor Tally '#]],InvestorTable[[#This Row],[Investor Name]], NA())</f>
        <v>0</v>
      </c>
      <c r="C339" s="14"/>
      <c r="D339" s="17" t="e" cm="1">
        <f t="array" ref="D339">_xlfn.IFS(AND(InvestorTable[[#This Row],[Investor Tally '#]] = 'Payment Tracker'!$A339, 'Payment Tracker'!$C339="Dividend") = TRUE, InvestorTable[[#This Row],[Monthly ROI (₦)]], AND(InvestorTable[[#This Row],[Investor Tally '#]] = 'Payment Tracker'!$A339, 'Payment Tracker'!$C339="Capital") = TRUE, InvestorTable[[#This Row],[Investment Capital (₦)]], AND(InvestorTable[[#This Row],[Investor Tally '#]] = 'Payment Tracker'!$A339, 'Payment Tracker'!$C339="Refund") = TRUE, InvestorTable[[#This Row],[Investment Capital (₦)]] )</f>
        <v>#N/A</v>
      </c>
      <c r="E339" s="15"/>
      <c r="F339" s="14"/>
      <c r="G339" s="14"/>
      <c r="H339" s="14"/>
    </row>
    <row r="340" spans="1:8" x14ac:dyDescent="0.3">
      <c r="A340" s="13"/>
      <c r="B340" s="16">
        <f>IF($A340=InvestorTable[[#This Row],[Investor Tally '#]],InvestorTable[[#This Row],[Investor Name]], NA())</f>
        <v>0</v>
      </c>
      <c r="C340" s="14"/>
      <c r="D340" s="17" t="e" cm="1">
        <f t="array" ref="D340">_xlfn.IFS(AND(InvestorTable[[#This Row],[Investor Tally '#]] = 'Payment Tracker'!$A340, 'Payment Tracker'!$C340="Dividend") = TRUE, InvestorTable[[#This Row],[Monthly ROI (₦)]], AND(InvestorTable[[#This Row],[Investor Tally '#]] = 'Payment Tracker'!$A340, 'Payment Tracker'!$C340="Capital") = TRUE, InvestorTable[[#This Row],[Investment Capital (₦)]], AND(InvestorTable[[#This Row],[Investor Tally '#]] = 'Payment Tracker'!$A340, 'Payment Tracker'!$C340="Refund") = TRUE, InvestorTable[[#This Row],[Investment Capital (₦)]] )</f>
        <v>#N/A</v>
      </c>
      <c r="E340" s="15"/>
      <c r="F340" s="14"/>
      <c r="G340" s="14"/>
      <c r="H340" s="14"/>
    </row>
    <row r="341" spans="1:8" x14ac:dyDescent="0.3">
      <c r="A341" s="13"/>
      <c r="B341" s="16">
        <f>IF($A341=InvestorTable[[#This Row],[Investor Tally '#]],InvestorTable[[#This Row],[Investor Name]], NA())</f>
        <v>0</v>
      </c>
      <c r="C341" s="14"/>
      <c r="D341" s="17" t="e" cm="1">
        <f t="array" ref="D341">_xlfn.IFS(AND(InvestorTable[[#This Row],[Investor Tally '#]] = 'Payment Tracker'!$A341, 'Payment Tracker'!$C341="Dividend") = TRUE, InvestorTable[[#This Row],[Monthly ROI (₦)]], AND(InvestorTable[[#This Row],[Investor Tally '#]] = 'Payment Tracker'!$A341, 'Payment Tracker'!$C341="Capital") = TRUE, InvestorTable[[#This Row],[Investment Capital (₦)]], AND(InvestorTable[[#This Row],[Investor Tally '#]] = 'Payment Tracker'!$A341, 'Payment Tracker'!$C341="Refund") = TRUE, InvestorTable[[#This Row],[Investment Capital (₦)]] )</f>
        <v>#N/A</v>
      </c>
      <c r="E341" s="15"/>
      <c r="F341" s="14"/>
      <c r="G341" s="14"/>
      <c r="H341" s="14"/>
    </row>
    <row r="342" spans="1:8" x14ac:dyDescent="0.3">
      <c r="A342" s="13"/>
      <c r="B342" s="16">
        <f>IF($A342=InvestorTable[[#This Row],[Investor Tally '#]],InvestorTable[[#This Row],[Investor Name]], NA())</f>
        <v>0</v>
      </c>
      <c r="C342" s="14"/>
      <c r="D342" s="17" t="e" cm="1">
        <f t="array" ref="D342">_xlfn.IFS(AND(InvestorTable[[#This Row],[Investor Tally '#]] = 'Payment Tracker'!$A342, 'Payment Tracker'!$C342="Dividend") = TRUE, InvestorTable[[#This Row],[Monthly ROI (₦)]], AND(InvestorTable[[#This Row],[Investor Tally '#]] = 'Payment Tracker'!$A342, 'Payment Tracker'!$C342="Capital") = TRUE, InvestorTable[[#This Row],[Investment Capital (₦)]], AND(InvestorTable[[#This Row],[Investor Tally '#]] = 'Payment Tracker'!$A342, 'Payment Tracker'!$C342="Refund") = TRUE, InvestorTable[[#This Row],[Investment Capital (₦)]] )</f>
        <v>#N/A</v>
      </c>
      <c r="E342" s="15"/>
      <c r="F342" s="14"/>
      <c r="G342" s="14"/>
      <c r="H342" s="14"/>
    </row>
    <row r="343" spans="1:8" x14ac:dyDescent="0.3">
      <c r="A343" s="13"/>
      <c r="B343" s="16">
        <f>IF($A343=InvestorTable[[#This Row],[Investor Tally '#]],InvestorTable[[#This Row],[Investor Name]], NA())</f>
        <v>0</v>
      </c>
      <c r="C343" s="14"/>
      <c r="D343" s="17" t="e" cm="1">
        <f t="array" ref="D343">_xlfn.IFS(AND(InvestorTable[[#This Row],[Investor Tally '#]] = 'Payment Tracker'!$A343, 'Payment Tracker'!$C343="Dividend") = TRUE, InvestorTable[[#This Row],[Monthly ROI (₦)]], AND(InvestorTable[[#This Row],[Investor Tally '#]] = 'Payment Tracker'!$A343, 'Payment Tracker'!$C343="Capital") = TRUE, InvestorTable[[#This Row],[Investment Capital (₦)]], AND(InvestorTable[[#This Row],[Investor Tally '#]] = 'Payment Tracker'!$A343, 'Payment Tracker'!$C343="Refund") = TRUE, InvestorTable[[#This Row],[Investment Capital (₦)]] )</f>
        <v>#N/A</v>
      </c>
      <c r="E343" s="15"/>
      <c r="F343" s="14"/>
      <c r="G343" s="14"/>
      <c r="H343" s="14"/>
    </row>
    <row r="344" spans="1:8" x14ac:dyDescent="0.3">
      <c r="A344" s="13"/>
      <c r="B344" s="16">
        <f>IF($A344=InvestorTable[[#This Row],[Investor Tally '#]],InvestorTable[[#This Row],[Investor Name]], NA())</f>
        <v>0</v>
      </c>
      <c r="C344" s="14"/>
      <c r="D344" s="17" t="e" cm="1">
        <f t="array" ref="D344">_xlfn.IFS(AND(InvestorTable[[#This Row],[Investor Tally '#]] = 'Payment Tracker'!$A344, 'Payment Tracker'!$C344="Dividend") = TRUE, InvestorTable[[#This Row],[Monthly ROI (₦)]], AND(InvestorTable[[#This Row],[Investor Tally '#]] = 'Payment Tracker'!$A344, 'Payment Tracker'!$C344="Capital") = TRUE, InvestorTable[[#This Row],[Investment Capital (₦)]], AND(InvestorTable[[#This Row],[Investor Tally '#]] = 'Payment Tracker'!$A344, 'Payment Tracker'!$C344="Refund") = TRUE, InvestorTable[[#This Row],[Investment Capital (₦)]] )</f>
        <v>#N/A</v>
      </c>
      <c r="E344" s="15"/>
      <c r="F344" s="14"/>
      <c r="G344" s="14"/>
      <c r="H344" s="14"/>
    </row>
    <row r="345" spans="1:8" x14ac:dyDescent="0.3">
      <c r="A345" s="13"/>
      <c r="B345" s="16">
        <f>IF($A345=InvestorTable[[#This Row],[Investor Tally '#]],InvestorTable[[#This Row],[Investor Name]], NA())</f>
        <v>0</v>
      </c>
      <c r="C345" s="14"/>
      <c r="D345" s="17" t="e" cm="1">
        <f t="array" ref="D345">_xlfn.IFS(AND(InvestorTable[[#This Row],[Investor Tally '#]] = 'Payment Tracker'!$A345, 'Payment Tracker'!$C345="Dividend") = TRUE, InvestorTable[[#This Row],[Monthly ROI (₦)]], AND(InvestorTable[[#This Row],[Investor Tally '#]] = 'Payment Tracker'!$A345, 'Payment Tracker'!$C345="Capital") = TRUE, InvestorTable[[#This Row],[Investment Capital (₦)]], AND(InvestorTable[[#This Row],[Investor Tally '#]] = 'Payment Tracker'!$A345, 'Payment Tracker'!$C345="Refund") = TRUE, InvestorTable[[#This Row],[Investment Capital (₦)]] )</f>
        <v>#N/A</v>
      </c>
      <c r="E345" s="15"/>
      <c r="F345" s="14"/>
      <c r="G345" s="14"/>
      <c r="H345" s="14"/>
    </row>
    <row r="346" spans="1:8" x14ac:dyDescent="0.3">
      <c r="A346" s="13"/>
      <c r="B346" s="16">
        <f>IF($A346=InvestorTable[[#This Row],[Investor Tally '#]],InvestorTable[[#This Row],[Investor Name]], NA())</f>
        <v>0</v>
      </c>
      <c r="C346" s="14"/>
      <c r="D346" s="17" t="e" cm="1">
        <f t="array" ref="D346">_xlfn.IFS(AND(InvestorTable[[#This Row],[Investor Tally '#]] = 'Payment Tracker'!$A346, 'Payment Tracker'!$C346="Dividend") = TRUE, InvestorTable[[#This Row],[Monthly ROI (₦)]], AND(InvestorTable[[#This Row],[Investor Tally '#]] = 'Payment Tracker'!$A346, 'Payment Tracker'!$C346="Capital") = TRUE, InvestorTable[[#This Row],[Investment Capital (₦)]], AND(InvestorTable[[#This Row],[Investor Tally '#]] = 'Payment Tracker'!$A346, 'Payment Tracker'!$C346="Refund") = TRUE, InvestorTable[[#This Row],[Investment Capital (₦)]] )</f>
        <v>#N/A</v>
      </c>
      <c r="E346" s="15"/>
      <c r="F346" s="14"/>
      <c r="G346" s="14"/>
      <c r="H346" s="14"/>
    </row>
    <row r="347" spans="1:8" x14ac:dyDescent="0.3">
      <c r="A347" s="13"/>
      <c r="B347" s="16">
        <f>IF($A347=InvestorTable[[#This Row],[Investor Tally '#]],InvestorTable[[#This Row],[Investor Name]], NA())</f>
        <v>0</v>
      </c>
      <c r="C347" s="14"/>
      <c r="D347" s="17" t="e" cm="1">
        <f t="array" ref="D347">_xlfn.IFS(AND(InvestorTable[[#This Row],[Investor Tally '#]] = 'Payment Tracker'!$A347, 'Payment Tracker'!$C347="Dividend") = TRUE, InvestorTable[[#This Row],[Monthly ROI (₦)]], AND(InvestorTable[[#This Row],[Investor Tally '#]] = 'Payment Tracker'!$A347, 'Payment Tracker'!$C347="Capital") = TRUE, InvestorTable[[#This Row],[Investment Capital (₦)]], AND(InvestorTable[[#This Row],[Investor Tally '#]] = 'Payment Tracker'!$A347, 'Payment Tracker'!$C347="Refund") = TRUE, InvestorTable[[#This Row],[Investment Capital (₦)]] )</f>
        <v>#N/A</v>
      </c>
      <c r="E347" s="15"/>
      <c r="F347" s="14"/>
      <c r="G347" s="14"/>
      <c r="H347" s="14"/>
    </row>
    <row r="348" spans="1:8" x14ac:dyDescent="0.3">
      <c r="A348" s="13"/>
      <c r="B348" s="16">
        <f>IF($A348=InvestorTable[[#This Row],[Investor Tally '#]],InvestorTable[[#This Row],[Investor Name]], NA())</f>
        <v>0</v>
      </c>
      <c r="C348" s="14"/>
      <c r="D348" s="17" t="e" cm="1">
        <f t="array" ref="D348">_xlfn.IFS(AND(InvestorTable[[#This Row],[Investor Tally '#]] = 'Payment Tracker'!$A348, 'Payment Tracker'!$C348="Dividend") = TRUE, InvestorTable[[#This Row],[Monthly ROI (₦)]], AND(InvestorTable[[#This Row],[Investor Tally '#]] = 'Payment Tracker'!$A348, 'Payment Tracker'!$C348="Capital") = TRUE, InvestorTable[[#This Row],[Investment Capital (₦)]], AND(InvestorTable[[#This Row],[Investor Tally '#]] = 'Payment Tracker'!$A348, 'Payment Tracker'!$C348="Refund") = TRUE, InvestorTable[[#This Row],[Investment Capital (₦)]] )</f>
        <v>#N/A</v>
      </c>
      <c r="E348" s="15"/>
      <c r="F348" s="14"/>
      <c r="G348" s="14"/>
      <c r="H348" s="14"/>
    </row>
    <row r="349" spans="1:8" x14ac:dyDescent="0.3">
      <c r="A349" s="13"/>
      <c r="B349" s="16">
        <f>IF($A349=InvestorTable[[#This Row],[Investor Tally '#]],InvestorTable[[#This Row],[Investor Name]], NA())</f>
        <v>0</v>
      </c>
      <c r="C349" s="14"/>
      <c r="D349" s="17" t="e" cm="1">
        <f t="array" ref="D349">_xlfn.IFS(AND(InvestorTable[[#This Row],[Investor Tally '#]] = 'Payment Tracker'!$A349, 'Payment Tracker'!$C349="Dividend") = TRUE, InvestorTable[[#This Row],[Monthly ROI (₦)]], AND(InvestorTable[[#This Row],[Investor Tally '#]] = 'Payment Tracker'!$A349, 'Payment Tracker'!$C349="Capital") = TRUE, InvestorTable[[#This Row],[Investment Capital (₦)]], AND(InvestorTable[[#This Row],[Investor Tally '#]] = 'Payment Tracker'!$A349, 'Payment Tracker'!$C349="Refund") = TRUE, InvestorTable[[#This Row],[Investment Capital (₦)]] )</f>
        <v>#N/A</v>
      </c>
      <c r="E349" s="15"/>
      <c r="F349" s="14"/>
      <c r="G349" s="14"/>
      <c r="H349" s="14"/>
    </row>
    <row r="350" spans="1:8" x14ac:dyDescent="0.3">
      <c r="A350" s="13"/>
      <c r="B350" s="16">
        <f>IF($A350=InvestorTable[[#This Row],[Investor Tally '#]],InvestorTable[[#This Row],[Investor Name]], NA())</f>
        <v>0</v>
      </c>
      <c r="C350" s="14"/>
      <c r="D350" s="17" t="e" cm="1">
        <f t="array" ref="D350">_xlfn.IFS(AND(InvestorTable[[#This Row],[Investor Tally '#]] = 'Payment Tracker'!$A350, 'Payment Tracker'!$C350="Dividend") = TRUE, InvestorTable[[#This Row],[Monthly ROI (₦)]], AND(InvestorTable[[#This Row],[Investor Tally '#]] = 'Payment Tracker'!$A350, 'Payment Tracker'!$C350="Capital") = TRUE, InvestorTable[[#This Row],[Investment Capital (₦)]], AND(InvestorTable[[#This Row],[Investor Tally '#]] = 'Payment Tracker'!$A350, 'Payment Tracker'!$C350="Refund") = TRUE, InvestorTable[[#This Row],[Investment Capital (₦)]] )</f>
        <v>#N/A</v>
      </c>
      <c r="E350" s="15"/>
      <c r="F350" s="14"/>
      <c r="G350" s="14"/>
      <c r="H350" s="14"/>
    </row>
    <row r="351" spans="1:8" x14ac:dyDescent="0.3">
      <c r="A351" s="13"/>
      <c r="B351" s="16">
        <f>IF($A351=InvestorTable[[#This Row],[Investor Tally '#]],InvestorTable[[#This Row],[Investor Name]], NA())</f>
        <v>0</v>
      </c>
      <c r="C351" s="14"/>
      <c r="D351" s="17" t="e" cm="1">
        <f t="array" ref="D351">_xlfn.IFS(AND(InvestorTable[[#This Row],[Investor Tally '#]] = 'Payment Tracker'!$A351, 'Payment Tracker'!$C351="Dividend") = TRUE, InvestorTable[[#This Row],[Monthly ROI (₦)]], AND(InvestorTable[[#This Row],[Investor Tally '#]] = 'Payment Tracker'!$A351, 'Payment Tracker'!$C351="Capital") = TRUE, InvestorTable[[#This Row],[Investment Capital (₦)]], AND(InvestorTable[[#This Row],[Investor Tally '#]] = 'Payment Tracker'!$A351, 'Payment Tracker'!$C351="Refund") = TRUE, InvestorTable[[#This Row],[Investment Capital (₦)]] )</f>
        <v>#N/A</v>
      </c>
      <c r="E351" s="15"/>
      <c r="F351" s="14"/>
      <c r="G351" s="14"/>
      <c r="H351" s="14"/>
    </row>
    <row r="352" spans="1:8" x14ac:dyDescent="0.3">
      <c r="A352" s="13"/>
      <c r="B352" s="16">
        <f>IF($A352=InvestorTable[[#This Row],[Investor Tally '#]],InvestorTable[[#This Row],[Investor Name]], NA())</f>
        <v>0</v>
      </c>
      <c r="C352" s="14"/>
      <c r="D352" s="17" t="e" cm="1">
        <f t="array" ref="D352">_xlfn.IFS(AND(InvestorTable[[#This Row],[Investor Tally '#]] = 'Payment Tracker'!$A352, 'Payment Tracker'!$C352="Dividend") = TRUE, InvestorTable[[#This Row],[Monthly ROI (₦)]], AND(InvestorTable[[#This Row],[Investor Tally '#]] = 'Payment Tracker'!$A352, 'Payment Tracker'!$C352="Capital") = TRUE, InvestorTable[[#This Row],[Investment Capital (₦)]], AND(InvestorTable[[#This Row],[Investor Tally '#]] = 'Payment Tracker'!$A352, 'Payment Tracker'!$C352="Refund") = TRUE, InvestorTable[[#This Row],[Investment Capital (₦)]] )</f>
        <v>#N/A</v>
      </c>
      <c r="E352" s="15"/>
      <c r="F352" s="14"/>
      <c r="G352" s="14"/>
      <c r="H352" s="14"/>
    </row>
    <row r="353" spans="1:8" x14ac:dyDescent="0.3">
      <c r="A353" s="13"/>
      <c r="B353" s="16">
        <f>IF($A353=InvestorTable[[#This Row],[Investor Tally '#]],InvestorTable[[#This Row],[Investor Name]], NA())</f>
        <v>0</v>
      </c>
      <c r="C353" s="14"/>
      <c r="D353" s="17" t="e" cm="1">
        <f t="array" ref="D353">_xlfn.IFS(AND(InvestorTable[[#This Row],[Investor Tally '#]] = 'Payment Tracker'!$A353, 'Payment Tracker'!$C353="Dividend") = TRUE, InvestorTable[[#This Row],[Monthly ROI (₦)]], AND(InvestorTable[[#This Row],[Investor Tally '#]] = 'Payment Tracker'!$A353, 'Payment Tracker'!$C353="Capital") = TRUE, InvestorTable[[#This Row],[Investment Capital (₦)]], AND(InvestorTable[[#This Row],[Investor Tally '#]] = 'Payment Tracker'!$A353, 'Payment Tracker'!$C353="Refund") = TRUE, InvestorTable[[#This Row],[Investment Capital (₦)]] )</f>
        <v>#N/A</v>
      </c>
      <c r="E353" s="15"/>
      <c r="F353" s="14"/>
      <c r="G353" s="14"/>
      <c r="H353" s="14"/>
    </row>
    <row r="354" spans="1:8" x14ac:dyDescent="0.3">
      <c r="A354" s="13"/>
      <c r="B354" s="16">
        <f>IF($A354=InvestorTable[[#This Row],[Investor Tally '#]],InvestorTable[[#This Row],[Investor Name]], NA())</f>
        <v>0</v>
      </c>
      <c r="C354" s="14"/>
      <c r="D354" s="17" t="e" cm="1">
        <f t="array" ref="D354">_xlfn.IFS(AND(InvestorTable[[#This Row],[Investor Tally '#]] = 'Payment Tracker'!$A354, 'Payment Tracker'!$C354="Dividend") = TRUE, InvestorTable[[#This Row],[Monthly ROI (₦)]], AND(InvestorTable[[#This Row],[Investor Tally '#]] = 'Payment Tracker'!$A354, 'Payment Tracker'!$C354="Capital") = TRUE, InvestorTable[[#This Row],[Investment Capital (₦)]], AND(InvestorTable[[#This Row],[Investor Tally '#]] = 'Payment Tracker'!$A354, 'Payment Tracker'!$C354="Refund") = TRUE, InvestorTable[[#This Row],[Investment Capital (₦)]] )</f>
        <v>#N/A</v>
      </c>
      <c r="E354" s="15"/>
      <c r="F354" s="14"/>
      <c r="G354" s="14"/>
      <c r="H354" s="14"/>
    </row>
    <row r="355" spans="1:8" x14ac:dyDescent="0.3">
      <c r="A355" s="13"/>
      <c r="B355" s="16">
        <f>IF($A355=InvestorTable[[#This Row],[Investor Tally '#]],InvestorTable[[#This Row],[Investor Name]], NA())</f>
        <v>0</v>
      </c>
      <c r="C355" s="14"/>
      <c r="D355" s="17" t="e" cm="1">
        <f t="array" ref="D355">_xlfn.IFS(AND(InvestorTable[[#This Row],[Investor Tally '#]] = 'Payment Tracker'!$A355, 'Payment Tracker'!$C355="Dividend") = TRUE, InvestorTable[[#This Row],[Monthly ROI (₦)]], AND(InvestorTable[[#This Row],[Investor Tally '#]] = 'Payment Tracker'!$A355, 'Payment Tracker'!$C355="Capital") = TRUE, InvestorTable[[#This Row],[Investment Capital (₦)]], AND(InvestorTable[[#This Row],[Investor Tally '#]] = 'Payment Tracker'!$A355, 'Payment Tracker'!$C355="Refund") = TRUE, InvestorTable[[#This Row],[Investment Capital (₦)]] )</f>
        <v>#N/A</v>
      </c>
      <c r="E355" s="15"/>
      <c r="F355" s="14"/>
      <c r="G355" s="14"/>
      <c r="H355" s="14"/>
    </row>
    <row r="356" spans="1:8" x14ac:dyDescent="0.3">
      <c r="A356" s="13"/>
      <c r="B356" s="16">
        <f>IF($A356=InvestorTable[[#This Row],[Investor Tally '#]],InvestorTable[[#This Row],[Investor Name]], NA())</f>
        <v>0</v>
      </c>
      <c r="C356" s="14"/>
      <c r="D356" s="17" t="e" cm="1">
        <f t="array" ref="D356">_xlfn.IFS(AND(InvestorTable[[#This Row],[Investor Tally '#]] = 'Payment Tracker'!$A356, 'Payment Tracker'!$C356="Dividend") = TRUE, InvestorTable[[#This Row],[Monthly ROI (₦)]], AND(InvestorTable[[#This Row],[Investor Tally '#]] = 'Payment Tracker'!$A356, 'Payment Tracker'!$C356="Capital") = TRUE, InvestorTable[[#This Row],[Investment Capital (₦)]], AND(InvestorTable[[#This Row],[Investor Tally '#]] = 'Payment Tracker'!$A356, 'Payment Tracker'!$C356="Refund") = TRUE, InvestorTable[[#This Row],[Investment Capital (₦)]] )</f>
        <v>#N/A</v>
      </c>
      <c r="E356" s="15"/>
      <c r="F356" s="14"/>
      <c r="G356" s="14"/>
      <c r="H356" s="14"/>
    </row>
    <row r="357" spans="1:8" x14ac:dyDescent="0.3">
      <c r="A357" s="13"/>
      <c r="B357" s="16">
        <f>IF($A357=InvestorTable[[#This Row],[Investor Tally '#]],InvestorTable[[#This Row],[Investor Name]], NA())</f>
        <v>0</v>
      </c>
      <c r="C357" s="14"/>
      <c r="D357" s="17" t="e" cm="1">
        <f t="array" ref="D357">_xlfn.IFS(AND(InvestorTable[[#This Row],[Investor Tally '#]] = 'Payment Tracker'!$A357, 'Payment Tracker'!$C357="Dividend") = TRUE, InvestorTable[[#This Row],[Monthly ROI (₦)]], AND(InvestorTable[[#This Row],[Investor Tally '#]] = 'Payment Tracker'!$A357, 'Payment Tracker'!$C357="Capital") = TRUE, InvestorTable[[#This Row],[Investment Capital (₦)]], AND(InvestorTable[[#This Row],[Investor Tally '#]] = 'Payment Tracker'!$A357, 'Payment Tracker'!$C357="Refund") = TRUE, InvestorTable[[#This Row],[Investment Capital (₦)]] )</f>
        <v>#N/A</v>
      </c>
      <c r="E357" s="15"/>
      <c r="F357" s="14"/>
      <c r="G357" s="14"/>
      <c r="H357" s="14"/>
    </row>
    <row r="358" spans="1:8" x14ac:dyDescent="0.3">
      <c r="A358" s="13"/>
      <c r="B358" s="16">
        <f>IF($A358=InvestorTable[[#This Row],[Investor Tally '#]],InvestorTable[[#This Row],[Investor Name]], NA())</f>
        <v>0</v>
      </c>
      <c r="C358" s="14"/>
      <c r="D358" s="17" t="e" cm="1">
        <f t="array" ref="D358">_xlfn.IFS(AND(InvestorTable[[#This Row],[Investor Tally '#]] = 'Payment Tracker'!$A358, 'Payment Tracker'!$C358="Dividend") = TRUE, InvestorTable[[#This Row],[Monthly ROI (₦)]], AND(InvestorTable[[#This Row],[Investor Tally '#]] = 'Payment Tracker'!$A358, 'Payment Tracker'!$C358="Capital") = TRUE, InvestorTable[[#This Row],[Investment Capital (₦)]], AND(InvestorTable[[#This Row],[Investor Tally '#]] = 'Payment Tracker'!$A358, 'Payment Tracker'!$C358="Refund") = TRUE, InvestorTable[[#This Row],[Investment Capital (₦)]] )</f>
        <v>#N/A</v>
      </c>
      <c r="E358" s="15"/>
      <c r="F358" s="14"/>
      <c r="G358" s="14"/>
      <c r="H358" s="14"/>
    </row>
    <row r="359" spans="1:8" x14ac:dyDescent="0.3">
      <c r="A359" s="13"/>
      <c r="B359" s="16">
        <f>IF($A359=InvestorTable[[#This Row],[Investor Tally '#]],InvestorTable[[#This Row],[Investor Name]], NA())</f>
        <v>0</v>
      </c>
      <c r="C359" s="14"/>
      <c r="D359" s="17" t="e" cm="1">
        <f t="array" ref="D359">_xlfn.IFS(AND(InvestorTable[[#This Row],[Investor Tally '#]] = 'Payment Tracker'!$A359, 'Payment Tracker'!$C359="Dividend") = TRUE, InvestorTable[[#This Row],[Monthly ROI (₦)]], AND(InvestorTable[[#This Row],[Investor Tally '#]] = 'Payment Tracker'!$A359, 'Payment Tracker'!$C359="Capital") = TRUE, InvestorTable[[#This Row],[Investment Capital (₦)]], AND(InvestorTable[[#This Row],[Investor Tally '#]] = 'Payment Tracker'!$A359, 'Payment Tracker'!$C359="Refund") = TRUE, InvestorTable[[#This Row],[Investment Capital (₦)]] )</f>
        <v>#N/A</v>
      </c>
      <c r="E359" s="15"/>
      <c r="F359" s="14"/>
      <c r="G359" s="14"/>
      <c r="H359" s="14"/>
    </row>
    <row r="360" spans="1:8" x14ac:dyDescent="0.3">
      <c r="A360" s="13"/>
      <c r="B360" s="16">
        <f>IF($A360=InvestorTable[[#This Row],[Investor Tally '#]],InvestorTable[[#This Row],[Investor Name]], NA())</f>
        <v>0</v>
      </c>
      <c r="C360" s="14"/>
      <c r="D360" s="17" t="e" cm="1">
        <f t="array" ref="D360">_xlfn.IFS(AND(InvestorTable[[#This Row],[Investor Tally '#]] = 'Payment Tracker'!$A360, 'Payment Tracker'!$C360="Dividend") = TRUE, InvestorTable[[#This Row],[Monthly ROI (₦)]], AND(InvestorTable[[#This Row],[Investor Tally '#]] = 'Payment Tracker'!$A360, 'Payment Tracker'!$C360="Capital") = TRUE, InvestorTable[[#This Row],[Investment Capital (₦)]], AND(InvestorTable[[#This Row],[Investor Tally '#]] = 'Payment Tracker'!$A360, 'Payment Tracker'!$C360="Refund") = TRUE, InvestorTable[[#This Row],[Investment Capital (₦)]] )</f>
        <v>#N/A</v>
      </c>
      <c r="E360" s="15"/>
      <c r="F360" s="14"/>
      <c r="G360" s="14"/>
      <c r="H360" s="14"/>
    </row>
    <row r="361" spans="1:8" x14ac:dyDescent="0.3">
      <c r="A361" s="13"/>
      <c r="B361" s="16">
        <f>IF($A361=InvestorTable[[#This Row],[Investor Tally '#]],InvestorTable[[#This Row],[Investor Name]], NA())</f>
        <v>0</v>
      </c>
      <c r="C361" s="14"/>
      <c r="D361" s="17" t="e" cm="1">
        <f t="array" ref="D361">_xlfn.IFS(AND(InvestorTable[[#This Row],[Investor Tally '#]] = 'Payment Tracker'!$A361, 'Payment Tracker'!$C361="Dividend") = TRUE, InvestorTable[[#This Row],[Monthly ROI (₦)]], AND(InvestorTable[[#This Row],[Investor Tally '#]] = 'Payment Tracker'!$A361, 'Payment Tracker'!$C361="Capital") = TRUE, InvestorTable[[#This Row],[Investment Capital (₦)]], AND(InvestorTable[[#This Row],[Investor Tally '#]] = 'Payment Tracker'!$A361, 'Payment Tracker'!$C361="Refund") = TRUE, InvestorTable[[#This Row],[Investment Capital (₦)]] )</f>
        <v>#N/A</v>
      </c>
      <c r="E361" s="15"/>
      <c r="F361" s="14"/>
      <c r="G361" s="14"/>
      <c r="H361" s="14"/>
    </row>
    <row r="362" spans="1:8" x14ac:dyDescent="0.3">
      <c r="A362" s="13"/>
      <c r="B362" s="16">
        <f>IF($A362=InvestorTable[[#This Row],[Investor Tally '#]],InvestorTable[[#This Row],[Investor Name]], NA())</f>
        <v>0</v>
      </c>
      <c r="C362" s="14"/>
      <c r="D362" s="17" t="e" cm="1">
        <f t="array" ref="D362">_xlfn.IFS(AND(InvestorTable[[#This Row],[Investor Tally '#]] = 'Payment Tracker'!$A362, 'Payment Tracker'!$C362="Dividend") = TRUE, InvestorTable[[#This Row],[Monthly ROI (₦)]], AND(InvestorTable[[#This Row],[Investor Tally '#]] = 'Payment Tracker'!$A362, 'Payment Tracker'!$C362="Capital") = TRUE, InvestorTable[[#This Row],[Investment Capital (₦)]], AND(InvestorTable[[#This Row],[Investor Tally '#]] = 'Payment Tracker'!$A362, 'Payment Tracker'!$C362="Refund") = TRUE, InvestorTable[[#This Row],[Investment Capital (₦)]] )</f>
        <v>#N/A</v>
      </c>
      <c r="E362" s="15"/>
      <c r="F362" s="14"/>
      <c r="G362" s="14"/>
      <c r="H362" s="14"/>
    </row>
    <row r="363" spans="1:8" x14ac:dyDescent="0.3">
      <c r="A363" s="13"/>
      <c r="B363" s="16">
        <f>IF($A363=InvestorTable[[#This Row],[Investor Tally '#]],InvestorTable[[#This Row],[Investor Name]], NA())</f>
        <v>0</v>
      </c>
      <c r="C363" s="14"/>
      <c r="D363" s="17" t="e" cm="1">
        <f t="array" ref="D363">_xlfn.IFS(AND(InvestorTable[[#This Row],[Investor Tally '#]] = 'Payment Tracker'!$A363, 'Payment Tracker'!$C363="Dividend") = TRUE, InvestorTable[[#This Row],[Monthly ROI (₦)]], AND(InvestorTable[[#This Row],[Investor Tally '#]] = 'Payment Tracker'!$A363, 'Payment Tracker'!$C363="Capital") = TRUE, InvestorTable[[#This Row],[Investment Capital (₦)]], AND(InvestorTable[[#This Row],[Investor Tally '#]] = 'Payment Tracker'!$A363, 'Payment Tracker'!$C363="Refund") = TRUE, InvestorTable[[#This Row],[Investment Capital (₦)]] )</f>
        <v>#N/A</v>
      </c>
      <c r="E363" s="15"/>
      <c r="F363" s="14"/>
      <c r="G363" s="14"/>
      <c r="H363" s="14"/>
    </row>
    <row r="364" spans="1:8" x14ac:dyDescent="0.3">
      <c r="A364" s="13"/>
      <c r="B364" s="16">
        <f>IF($A364=InvestorTable[[#This Row],[Investor Tally '#]],InvestorTable[[#This Row],[Investor Name]], NA())</f>
        <v>0</v>
      </c>
      <c r="C364" s="14"/>
      <c r="D364" s="17" t="e" cm="1">
        <f t="array" ref="D364">_xlfn.IFS(AND(InvestorTable[[#This Row],[Investor Tally '#]] = 'Payment Tracker'!$A364, 'Payment Tracker'!$C364="Dividend") = TRUE, InvestorTable[[#This Row],[Monthly ROI (₦)]], AND(InvestorTable[[#This Row],[Investor Tally '#]] = 'Payment Tracker'!$A364, 'Payment Tracker'!$C364="Capital") = TRUE, InvestorTable[[#This Row],[Investment Capital (₦)]], AND(InvestorTable[[#This Row],[Investor Tally '#]] = 'Payment Tracker'!$A364, 'Payment Tracker'!$C364="Refund") = TRUE, InvestorTable[[#This Row],[Investment Capital (₦)]] )</f>
        <v>#N/A</v>
      </c>
      <c r="E364" s="15"/>
      <c r="F364" s="14"/>
      <c r="G364" s="14"/>
      <c r="H364" s="14"/>
    </row>
    <row r="365" spans="1:8" x14ac:dyDescent="0.3">
      <c r="A365" s="13"/>
      <c r="B365" s="16">
        <f>IF($A365=InvestorTable[[#This Row],[Investor Tally '#]],InvestorTable[[#This Row],[Investor Name]], NA())</f>
        <v>0</v>
      </c>
      <c r="C365" s="14"/>
      <c r="D365" s="17" t="e" cm="1">
        <f t="array" ref="D365">_xlfn.IFS(AND(InvestorTable[[#This Row],[Investor Tally '#]] = 'Payment Tracker'!$A365, 'Payment Tracker'!$C365="Dividend") = TRUE, InvestorTable[[#This Row],[Monthly ROI (₦)]], AND(InvestorTable[[#This Row],[Investor Tally '#]] = 'Payment Tracker'!$A365, 'Payment Tracker'!$C365="Capital") = TRUE, InvestorTable[[#This Row],[Investment Capital (₦)]], AND(InvestorTable[[#This Row],[Investor Tally '#]] = 'Payment Tracker'!$A365, 'Payment Tracker'!$C365="Refund") = TRUE, InvestorTable[[#This Row],[Investment Capital (₦)]] )</f>
        <v>#N/A</v>
      </c>
      <c r="E365" s="15"/>
      <c r="F365" s="14"/>
      <c r="G365" s="14"/>
      <c r="H365" s="14"/>
    </row>
    <row r="366" spans="1:8" x14ac:dyDescent="0.3">
      <c r="A366" s="13"/>
      <c r="B366" s="16">
        <f>IF($A366=InvestorTable[[#This Row],[Investor Tally '#]],InvestorTable[[#This Row],[Investor Name]], NA())</f>
        <v>0</v>
      </c>
      <c r="C366" s="14"/>
      <c r="D366" s="17" t="e" cm="1">
        <f t="array" ref="D366">_xlfn.IFS(AND(InvestorTable[[#This Row],[Investor Tally '#]] = 'Payment Tracker'!$A366, 'Payment Tracker'!$C366="Dividend") = TRUE, InvestorTable[[#This Row],[Monthly ROI (₦)]], AND(InvestorTable[[#This Row],[Investor Tally '#]] = 'Payment Tracker'!$A366, 'Payment Tracker'!$C366="Capital") = TRUE, InvestorTable[[#This Row],[Investment Capital (₦)]], AND(InvestorTable[[#This Row],[Investor Tally '#]] = 'Payment Tracker'!$A366, 'Payment Tracker'!$C366="Refund") = TRUE, InvestorTable[[#This Row],[Investment Capital (₦)]] )</f>
        <v>#N/A</v>
      </c>
      <c r="E366" s="15"/>
      <c r="F366" s="14"/>
      <c r="G366" s="14"/>
      <c r="H366" s="14"/>
    </row>
    <row r="367" spans="1:8" x14ac:dyDescent="0.3">
      <c r="A367" s="13"/>
      <c r="B367" s="16">
        <f>IF($A367=InvestorTable[[#This Row],[Investor Tally '#]],InvestorTable[[#This Row],[Investor Name]], NA())</f>
        <v>0</v>
      </c>
      <c r="C367" s="14"/>
      <c r="D367" s="17" t="e" cm="1">
        <f t="array" ref="D367">_xlfn.IFS(AND(InvestorTable[[#This Row],[Investor Tally '#]] = 'Payment Tracker'!$A367, 'Payment Tracker'!$C367="Dividend") = TRUE, InvestorTable[[#This Row],[Monthly ROI (₦)]], AND(InvestorTable[[#This Row],[Investor Tally '#]] = 'Payment Tracker'!$A367, 'Payment Tracker'!$C367="Capital") = TRUE, InvestorTable[[#This Row],[Investment Capital (₦)]], AND(InvestorTable[[#This Row],[Investor Tally '#]] = 'Payment Tracker'!$A367, 'Payment Tracker'!$C367="Refund") = TRUE, InvestorTable[[#This Row],[Investment Capital (₦)]] )</f>
        <v>#N/A</v>
      </c>
      <c r="E367" s="15"/>
      <c r="F367" s="14"/>
      <c r="G367" s="14"/>
      <c r="H367" s="14"/>
    </row>
    <row r="368" spans="1:8" x14ac:dyDescent="0.3">
      <c r="A368" s="13"/>
      <c r="B368" s="16">
        <f>IF($A368=InvestorTable[[#This Row],[Investor Tally '#]],InvestorTable[[#This Row],[Investor Name]], NA())</f>
        <v>0</v>
      </c>
      <c r="C368" s="14"/>
      <c r="D368" s="17" t="e" cm="1">
        <f t="array" ref="D368">_xlfn.IFS(AND(InvestorTable[[#This Row],[Investor Tally '#]] = 'Payment Tracker'!$A368, 'Payment Tracker'!$C368="Dividend") = TRUE, InvestorTable[[#This Row],[Monthly ROI (₦)]], AND(InvestorTable[[#This Row],[Investor Tally '#]] = 'Payment Tracker'!$A368, 'Payment Tracker'!$C368="Capital") = TRUE, InvestorTable[[#This Row],[Investment Capital (₦)]], AND(InvestorTable[[#This Row],[Investor Tally '#]] = 'Payment Tracker'!$A368, 'Payment Tracker'!$C368="Refund") = TRUE, InvestorTable[[#This Row],[Investment Capital (₦)]] )</f>
        <v>#N/A</v>
      </c>
      <c r="E368" s="15"/>
      <c r="F368" s="14"/>
      <c r="G368" s="14"/>
      <c r="H368" s="14"/>
    </row>
    <row r="369" spans="1:8" x14ac:dyDescent="0.3">
      <c r="A369" s="13"/>
      <c r="B369" s="16">
        <f>IF($A369=InvestorTable[[#This Row],[Investor Tally '#]],InvestorTable[[#This Row],[Investor Name]], NA())</f>
        <v>0</v>
      </c>
      <c r="C369" s="14"/>
      <c r="D369" s="17" t="e" cm="1">
        <f t="array" ref="D369">_xlfn.IFS(AND(InvestorTable[[#This Row],[Investor Tally '#]] = 'Payment Tracker'!$A369, 'Payment Tracker'!$C369="Dividend") = TRUE, InvestorTable[[#This Row],[Monthly ROI (₦)]], AND(InvestorTable[[#This Row],[Investor Tally '#]] = 'Payment Tracker'!$A369, 'Payment Tracker'!$C369="Capital") = TRUE, InvestorTable[[#This Row],[Investment Capital (₦)]], AND(InvestorTable[[#This Row],[Investor Tally '#]] = 'Payment Tracker'!$A369, 'Payment Tracker'!$C369="Refund") = TRUE, InvestorTable[[#This Row],[Investment Capital (₦)]] )</f>
        <v>#N/A</v>
      </c>
      <c r="E369" s="15"/>
      <c r="F369" s="14"/>
      <c r="G369" s="14"/>
      <c r="H369" s="14"/>
    </row>
    <row r="370" spans="1:8" x14ac:dyDescent="0.3">
      <c r="A370" s="13"/>
      <c r="B370" s="16">
        <f>IF($A370=InvestorTable[[#This Row],[Investor Tally '#]],InvestorTable[[#This Row],[Investor Name]], NA())</f>
        <v>0</v>
      </c>
      <c r="C370" s="14"/>
      <c r="D370" s="17" t="e" cm="1">
        <f t="array" ref="D370">_xlfn.IFS(AND(InvestorTable[[#This Row],[Investor Tally '#]] = 'Payment Tracker'!$A370, 'Payment Tracker'!$C370="Dividend") = TRUE, InvestorTable[[#This Row],[Monthly ROI (₦)]], AND(InvestorTable[[#This Row],[Investor Tally '#]] = 'Payment Tracker'!$A370, 'Payment Tracker'!$C370="Capital") = TRUE, InvestorTable[[#This Row],[Investment Capital (₦)]], AND(InvestorTable[[#This Row],[Investor Tally '#]] = 'Payment Tracker'!$A370, 'Payment Tracker'!$C370="Refund") = TRUE, InvestorTable[[#This Row],[Investment Capital (₦)]] )</f>
        <v>#N/A</v>
      </c>
      <c r="E370" s="15"/>
      <c r="F370" s="14"/>
      <c r="G370" s="14"/>
      <c r="H370" s="14"/>
    </row>
    <row r="371" spans="1:8" x14ac:dyDescent="0.3">
      <c r="A371" s="13"/>
      <c r="B371" s="16">
        <f>IF($A371=InvestorTable[[#This Row],[Investor Tally '#]],InvestorTable[[#This Row],[Investor Name]], NA())</f>
        <v>0</v>
      </c>
      <c r="C371" s="14"/>
      <c r="D371" s="17" t="e" cm="1">
        <f t="array" ref="D371">_xlfn.IFS(AND(InvestorTable[[#This Row],[Investor Tally '#]] = 'Payment Tracker'!$A371, 'Payment Tracker'!$C371="Dividend") = TRUE, InvestorTable[[#This Row],[Monthly ROI (₦)]], AND(InvestorTable[[#This Row],[Investor Tally '#]] = 'Payment Tracker'!$A371, 'Payment Tracker'!$C371="Capital") = TRUE, InvestorTable[[#This Row],[Investment Capital (₦)]], AND(InvestorTable[[#This Row],[Investor Tally '#]] = 'Payment Tracker'!$A371, 'Payment Tracker'!$C371="Refund") = TRUE, InvestorTable[[#This Row],[Investment Capital (₦)]] )</f>
        <v>#N/A</v>
      </c>
      <c r="E371" s="15"/>
      <c r="F371" s="14"/>
      <c r="G371" s="14"/>
      <c r="H371" s="14"/>
    </row>
    <row r="372" spans="1:8" x14ac:dyDescent="0.3">
      <c r="A372" s="13"/>
      <c r="B372" s="16">
        <f>IF($A372=InvestorTable[[#This Row],[Investor Tally '#]],InvestorTable[[#This Row],[Investor Name]], NA())</f>
        <v>0</v>
      </c>
      <c r="C372" s="14"/>
      <c r="D372" s="17" t="e" cm="1">
        <f t="array" ref="D372">_xlfn.IFS(AND(InvestorTable[[#This Row],[Investor Tally '#]] = 'Payment Tracker'!$A372, 'Payment Tracker'!$C372="Dividend") = TRUE, InvestorTable[[#This Row],[Monthly ROI (₦)]], AND(InvestorTable[[#This Row],[Investor Tally '#]] = 'Payment Tracker'!$A372, 'Payment Tracker'!$C372="Capital") = TRUE, InvestorTable[[#This Row],[Investment Capital (₦)]], AND(InvestorTable[[#This Row],[Investor Tally '#]] = 'Payment Tracker'!$A372, 'Payment Tracker'!$C372="Refund") = TRUE, InvestorTable[[#This Row],[Investment Capital (₦)]] )</f>
        <v>#N/A</v>
      </c>
      <c r="E372" s="15"/>
      <c r="F372" s="14"/>
      <c r="G372" s="14"/>
      <c r="H372" s="14"/>
    </row>
    <row r="373" spans="1:8" x14ac:dyDescent="0.3">
      <c r="A373" s="13"/>
      <c r="B373" s="16">
        <f>IF($A373=InvestorTable[[#This Row],[Investor Tally '#]],InvestorTable[[#This Row],[Investor Name]], NA())</f>
        <v>0</v>
      </c>
      <c r="C373" s="14"/>
      <c r="D373" s="17" t="e" cm="1">
        <f t="array" ref="D373">_xlfn.IFS(AND(InvestorTable[[#This Row],[Investor Tally '#]] = 'Payment Tracker'!$A373, 'Payment Tracker'!$C373="Dividend") = TRUE, InvestorTable[[#This Row],[Monthly ROI (₦)]], AND(InvestorTable[[#This Row],[Investor Tally '#]] = 'Payment Tracker'!$A373, 'Payment Tracker'!$C373="Capital") = TRUE, InvestorTable[[#This Row],[Investment Capital (₦)]], AND(InvestorTable[[#This Row],[Investor Tally '#]] = 'Payment Tracker'!$A373, 'Payment Tracker'!$C373="Refund") = TRUE, InvestorTable[[#This Row],[Investment Capital (₦)]] )</f>
        <v>#N/A</v>
      </c>
      <c r="E373" s="15"/>
      <c r="F373" s="14"/>
      <c r="G373" s="14"/>
      <c r="H373" s="14"/>
    </row>
    <row r="374" spans="1:8" x14ac:dyDescent="0.3">
      <c r="A374" s="13"/>
      <c r="B374" s="16">
        <f>IF($A374=InvestorTable[[#This Row],[Investor Tally '#]],InvestorTable[[#This Row],[Investor Name]], NA())</f>
        <v>0</v>
      </c>
      <c r="C374" s="14"/>
      <c r="D374" s="17" t="e" cm="1">
        <f t="array" ref="D374">_xlfn.IFS(AND(InvestorTable[[#This Row],[Investor Tally '#]] = 'Payment Tracker'!$A374, 'Payment Tracker'!$C374="Dividend") = TRUE, InvestorTable[[#This Row],[Monthly ROI (₦)]], AND(InvestorTable[[#This Row],[Investor Tally '#]] = 'Payment Tracker'!$A374, 'Payment Tracker'!$C374="Capital") = TRUE, InvestorTable[[#This Row],[Investment Capital (₦)]], AND(InvestorTable[[#This Row],[Investor Tally '#]] = 'Payment Tracker'!$A374, 'Payment Tracker'!$C374="Refund") = TRUE, InvestorTable[[#This Row],[Investment Capital (₦)]] )</f>
        <v>#N/A</v>
      </c>
      <c r="E374" s="15"/>
      <c r="F374" s="14"/>
      <c r="G374" s="14"/>
      <c r="H374" s="14"/>
    </row>
    <row r="375" spans="1:8" x14ac:dyDescent="0.3">
      <c r="A375" s="13"/>
      <c r="B375" s="16">
        <f>IF($A375=InvestorTable[[#This Row],[Investor Tally '#]],InvestorTable[[#This Row],[Investor Name]], NA())</f>
        <v>0</v>
      </c>
      <c r="C375" s="14"/>
      <c r="D375" s="17" t="e" cm="1">
        <f t="array" ref="D375">_xlfn.IFS(AND(InvestorTable[[#This Row],[Investor Tally '#]] = 'Payment Tracker'!$A375, 'Payment Tracker'!$C375="Dividend") = TRUE, InvestorTable[[#This Row],[Monthly ROI (₦)]], AND(InvestorTable[[#This Row],[Investor Tally '#]] = 'Payment Tracker'!$A375, 'Payment Tracker'!$C375="Capital") = TRUE, InvestorTable[[#This Row],[Investment Capital (₦)]], AND(InvestorTable[[#This Row],[Investor Tally '#]] = 'Payment Tracker'!$A375, 'Payment Tracker'!$C375="Refund") = TRUE, InvestorTable[[#This Row],[Investment Capital (₦)]] )</f>
        <v>#N/A</v>
      </c>
      <c r="E375" s="15"/>
      <c r="F375" s="14"/>
      <c r="G375" s="14"/>
      <c r="H375" s="14"/>
    </row>
    <row r="376" spans="1:8" x14ac:dyDescent="0.3">
      <c r="A376" s="13"/>
      <c r="B376" s="16">
        <f>IF($A376=InvestorTable[[#This Row],[Investor Tally '#]],InvestorTable[[#This Row],[Investor Name]], NA())</f>
        <v>0</v>
      </c>
      <c r="C376" s="14"/>
      <c r="D376" s="17" t="e" cm="1">
        <f t="array" ref="D376">_xlfn.IFS(AND(InvestorTable[[#This Row],[Investor Tally '#]] = 'Payment Tracker'!$A376, 'Payment Tracker'!$C376="Dividend") = TRUE, InvestorTable[[#This Row],[Monthly ROI (₦)]], AND(InvestorTable[[#This Row],[Investor Tally '#]] = 'Payment Tracker'!$A376, 'Payment Tracker'!$C376="Capital") = TRUE, InvestorTable[[#This Row],[Investment Capital (₦)]], AND(InvestorTable[[#This Row],[Investor Tally '#]] = 'Payment Tracker'!$A376, 'Payment Tracker'!$C376="Refund") = TRUE, InvestorTable[[#This Row],[Investment Capital (₦)]] )</f>
        <v>#N/A</v>
      </c>
      <c r="E376" s="15"/>
      <c r="F376" s="14"/>
      <c r="G376" s="14"/>
      <c r="H376" s="14"/>
    </row>
    <row r="377" spans="1:8" x14ac:dyDescent="0.3">
      <c r="A377" s="13"/>
      <c r="B377" s="16">
        <f>IF($A377=InvestorTable[[#This Row],[Investor Tally '#]],InvestorTable[[#This Row],[Investor Name]], NA())</f>
        <v>0</v>
      </c>
      <c r="C377" s="14"/>
      <c r="D377" s="17" t="e" cm="1">
        <f t="array" ref="D377">_xlfn.IFS(AND(InvestorTable[[#This Row],[Investor Tally '#]] = 'Payment Tracker'!$A377, 'Payment Tracker'!$C377="Dividend") = TRUE, InvestorTable[[#This Row],[Monthly ROI (₦)]], AND(InvestorTable[[#This Row],[Investor Tally '#]] = 'Payment Tracker'!$A377, 'Payment Tracker'!$C377="Capital") = TRUE, InvestorTable[[#This Row],[Investment Capital (₦)]], AND(InvestorTable[[#This Row],[Investor Tally '#]] = 'Payment Tracker'!$A377, 'Payment Tracker'!$C377="Refund") = TRUE, InvestorTable[[#This Row],[Investment Capital (₦)]] )</f>
        <v>#N/A</v>
      </c>
      <c r="E377" s="15"/>
      <c r="F377" s="14"/>
      <c r="G377" s="14"/>
      <c r="H377" s="14"/>
    </row>
    <row r="378" spans="1:8" x14ac:dyDescent="0.3">
      <c r="A378" s="13"/>
      <c r="B378" s="16">
        <f>IF($A378=InvestorTable[[#This Row],[Investor Tally '#]],InvestorTable[[#This Row],[Investor Name]], NA())</f>
        <v>0</v>
      </c>
      <c r="C378" s="14"/>
      <c r="D378" s="17" t="e" cm="1">
        <f t="array" ref="D378">_xlfn.IFS(AND(InvestorTable[[#This Row],[Investor Tally '#]] = 'Payment Tracker'!$A378, 'Payment Tracker'!$C378="Dividend") = TRUE, InvestorTable[[#This Row],[Monthly ROI (₦)]], AND(InvestorTable[[#This Row],[Investor Tally '#]] = 'Payment Tracker'!$A378, 'Payment Tracker'!$C378="Capital") = TRUE, InvestorTable[[#This Row],[Investment Capital (₦)]], AND(InvestorTable[[#This Row],[Investor Tally '#]] = 'Payment Tracker'!$A378, 'Payment Tracker'!$C378="Refund") = TRUE, InvestorTable[[#This Row],[Investment Capital (₦)]] )</f>
        <v>#N/A</v>
      </c>
      <c r="E378" s="15"/>
      <c r="F378" s="14"/>
      <c r="G378" s="14"/>
      <c r="H378" s="14"/>
    </row>
    <row r="379" spans="1:8" x14ac:dyDescent="0.3">
      <c r="A379" s="13"/>
      <c r="B379" s="16">
        <f>IF($A379=InvestorTable[[#This Row],[Investor Tally '#]],InvestorTable[[#This Row],[Investor Name]], NA())</f>
        <v>0</v>
      </c>
      <c r="C379" s="14"/>
      <c r="D379" s="17" t="e" cm="1">
        <f t="array" ref="D379">_xlfn.IFS(AND(InvestorTable[[#This Row],[Investor Tally '#]] = 'Payment Tracker'!$A379, 'Payment Tracker'!$C379="Dividend") = TRUE, InvestorTable[[#This Row],[Monthly ROI (₦)]], AND(InvestorTable[[#This Row],[Investor Tally '#]] = 'Payment Tracker'!$A379, 'Payment Tracker'!$C379="Capital") = TRUE, InvestorTable[[#This Row],[Investment Capital (₦)]], AND(InvestorTable[[#This Row],[Investor Tally '#]] = 'Payment Tracker'!$A379, 'Payment Tracker'!$C379="Refund") = TRUE, InvestorTable[[#This Row],[Investment Capital (₦)]] )</f>
        <v>#N/A</v>
      </c>
      <c r="E379" s="15"/>
      <c r="F379" s="14"/>
      <c r="G379" s="14"/>
      <c r="H379" s="14"/>
    </row>
    <row r="380" spans="1:8" x14ac:dyDescent="0.3">
      <c r="A380" s="13"/>
      <c r="B380" s="16">
        <f>IF($A380=InvestorTable[[#This Row],[Investor Tally '#]],InvestorTable[[#This Row],[Investor Name]], NA())</f>
        <v>0</v>
      </c>
      <c r="C380" s="14"/>
      <c r="D380" s="17" t="e" cm="1">
        <f t="array" ref="D380">_xlfn.IFS(AND(InvestorTable[[#This Row],[Investor Tally '#]] = 'Payment Tracker'!$A380, 'Payment Tracker'!$C380="Dividend") = TRUE, InvestorTable[[#This Row],[Monthly ROI (₦)]], AND(InvestorTable[[#This Row],[Investor Tally '#]] = 'Payment Tracker'!$A380, 'Payment Tracker'!$C380="Capital") = TRUE, InvestorTable[[#This Row],[Investment Capital (₦)]], AND(InvestorTable[[#This Row],[Investor Tally '#]] = 'Payment Tracker'!$A380, 'Payment Tracker'!$C380="Refund") = TRUE, InvestorTable[[#This Row],[Investment Capital (₦)]] )</f>
        <v>#N/A</v>
      </c>
      <c r="E380" s="15"/>
      <c r="F380" s="14"/>
      <c r="G380" s="14"/>
      <c r="H380" s="14"/>
    </row>
    <row r="381" spans="1:8" x14ac:dyDescent="0.3">
      <c r="A381" s="13"/>
      <c r="B381" s="16">
        <f>IF($A381=InvestorTable[[#This Row],[Investor Tally '#]],InvestorTable[[#This Row],[Investor Name]], NA())</f>
        <v>0</v>
      </c>
      <c r="C381" s="14"/>
      <c r="D381" s="17" t="e" cm="1">
        <f t="array" ref="D381">_xlfn.IFS(AND(InvestorTable[[#This Row],[Investor Tally '#]] = 'Payment Tracker'!$A381, 'Payment Tracker'!$C381="Dividend") = TRUE, InvestorTable[[#This Row],[Monthly ROI (₦)]], AND(InvestorTable[[#This Row],[Investor Tally '#]] = 'Payment Tracker'!$A381, 'Payment Tracker'!$C381="Capital") = TRUE, InvestorTable[[#This Row],[Investment Capital (₦)]], AND(InvestorTable[[#This Row],[Investor Tally '#]] = 'Payment Tracker'!$A381, 'Payment Tracker'!$C381="Refund") = TRUE, InvestorTable[[#This Row],[Investment Capital (₦)]] )</f>
        <v>#N/A</v>
      </c>
      <c r="E381" s="15"/>
      <c r="F381" s="14"/>
      <c r="G381" s="14"/>
      <c r="H381" s="14"/>
    </row>
    <row r="382" spans="1:8" x14ac:dyDescent="0.3">
      <c r="A382" s="13"/>
      <c r="B382" s="16">
        <f>IF($A382=InvestorTable[[#This Row],[Investor Tally '#]],InvestorTable[[#This Row],[Investor Name]], NA())</f>
        <v>0</v>
      </c>
      <c r="C382" s="14"/>
      <c r="D382" s="17" t="e" cm="1">
        <f t="array" ref="D382">_xlfn.IFS(AND(InvestorTable[[#This Row],[Investor Tally '#]] = 'Payment Tracker'!$A382, 'Payment Tracker'!$C382="Dividend") = TRUE, InvestorTable[[#This Row],[Monthly ROI (₦)]], AND(InvestorTable[[#This Row],[Investor Tally '#]] = 'Payment Tracker'!$A382, 'Payment Tracker'!$C382="Capital") = TRUE, InvestorTable[[#This Row],[Investment Capital (₦)]], AND(InvestorTable[[#This Row],[Investor Tally '#]] = 'Payment Tracker'!$A382, 'Payment Tracker'!$C382="Refund") = TRUE, InvestorTable[[#This Row],[Investment Capital (₦)]] )</f>
        <v>#N/A</v>
      </c>
      <c r="E382" s="15"/>
      <c r="F382" s="14"/>
      <c r="G382" s="14"/>
      <c r="H382" s="14"/>
    </row>
    <row r="383" spans="1:8" x14ac:dyDescent="0.3">
      <c r="A383" s="13"/>
      <c r="B383" s="16">
        <f>IF($A383=InvestorTable[[#This Row],[Investor Tally '#]],InvestorTable[[#This Row],[Investor Name]], NA())</f>
        <v>0</v>
      </c>
      <c r="C383" s="14"/>
      <c r="D383" s="17" t="e" cm="1">
        <f t="array" ref="D383">_xlfn.IFS(AND(InvestorTable[[#This Row],[Investor Tally '#]] = 'Payment Tracker'!$A383, 'Payment Tracker'!$C383="Dividend") = TRUE, InvestorTable[[#This Row],[Monthly ROI (₦)]], AND(InvestorTable[[#This Row],[Investor Tally '#]] = 'Payment Tracker'!$A383, 'Payment Tracker'!$C383="Capital") = TRUE, InvestorTable[[#This Row],[Investment Capital (₦)]], AND(InvestorTable[[#This Row],[Investor Tally '#]] = 'Payment Tracker'!$A383, 'Payment Tracker'!$C383="Refund") = TRUE, InvestorTable[[#This Row],[Investment Capital (₦)]] )</f>
        <v>#N/A</v>
      </c>
      <c r="E383" s="15"/>
      <c r="F383" s="14"/>
      <c r="G383" s="14"/>
      <c r="H383" s="14"/>
    </row>
    <row r="384" spans="1:8" x14ac:dyDescent="0.3">
      <c r="A384" s="13"/>
      <c r="B384" s="16">
        <f>IF($A384=InvestorTable[[#This Row],[Investor Tally '#]],InvestorTable[[#This Row],[Investor Name]], NA())</f>
        <v>0</v>
      </c>
      <c r="C384" s="14"/>
      <c r="D384" s="17" t="e" cm="1">
        <f t="array" ref="D384">_xlfn.IFS(AND(InvestorTable[[#This Row],[Investor Tally '#]] = 'Payment Tracker'!$A384, 'Payment Tracker'!$C384="Dividend") = TRUE, InvestorTable[[#This Row],[Monthly ROI (₦)]], AND(InvestorTable[[#This Row],[Investor Tally '#]] = 'Payment Tracker'!$A384, 'Payment Tracker'!$C384="Capital") = TRUE, InvestorTable[[#This Row],[Investment Capital (₦)]], AND(InvestorTable[[#This Row],[Investor Tally '#]] = 'Payment Tracker'!$A384, 'Payment Tracker'!$C384="Refund") = TRUE, InvestorTable[[#This Row],[Investment Capital (₦)]] )</f>
        <v>#N/A</v>
      </c>
      <c r="E384" s="15"/>
      <c r="F384" s="14"/>
      <c r="G384" s="14"/>
      <c r="H384" s="14"/>
    </row>
    <row r="385" spans="1:8" x14ac:dyDescent="0.3">
      <c r="A385" s="13"/>
      <c r="B385" s="16">
        <f>IF($A385=InvestorTable[[#This Row],[Investor Tally '#]],InvestorTable[[#This Row],[Investor Name]], NA())</f>
        <v>0</v>
      </c>
      <c r="C385" s="14"/>
      <c r="D385" s="17" t="e" cm="1">
        <f t="array" ref="D385">_xlfn.IFS(AND(InvestorTable[[#This Row],[Investor Tally '#]] = 'Payment Tracker'!$A385, 'Payment Tracker'!$C385="Dividend") = TRUE, InvestorTable[[#This Row],[Monthly ROI (₦)]], AND(InvestorTable[[#This Row],[Investor Tally '#]] = 'Payment Tracker'!$A385, 'Payment Tracker'!$C385="Capital") = TRUE, InvestorTable[[#This Row],[Investment Capital (₦)]], AND(InvestorTable[[#This Row],[Investor Tally '#]] = 'Payment Tracker'!$A385, 'Payment Tracker'!$C385="Refund") = TRUE, InvestorTable[[#This Row],[Investment Capital (₦)]] )</f>
        <v>#N/A</v>
      </c>
      <c r="E385" s="15"/>
      <c r="F385" s="14"/>
      <c r="G385" s="14"/>
      <c r="H385" s="14"/>
    </row>
    <row r="386" spans="1:8" x14ac:dyDescent="0.3">
      <c r="A386" s="13"/>
      <c r="B386" s="16">
        <f>IF($A386=InvestorTable[[#This Row],[Investor Tally '#]],InvestorTable[[#This Row],[Investor Name]], NA())</f>
        <v>0</v>
      </c>
      <c r="C386" s="14"/>
      <c r="D386" s="17" t="e" cm="1">
        <f t="array" ref="D386">_xlfn.IFS(AND(InvestorTable[[#This Row],[Investor Tally '#]] = 'Payment Tracker'!$A386, 'Payment Tracker'!$C386="Dividend") = TRUE, InvestorTable[[#This Row],[Monthly ROI (₦)]], AND(InvestorTable[[#This Row],[Investor Tally '#]] = 'Payment Tracker'!$A386, 'Payment Tracker'!$C386="Capital") = TRUE, InvestorTable[[#This Row],[Investment Capital (₦)]], AND(InvestorTable[[#This Row],[Investor Tally '#]] = 'Payment Tracker'!$A386, 'Payment Tracker'!$C386="Refund") = TRUE, InvestorTable[[#This Row],[Investment Capital (₦)]] )</f>
        <v>#N/A</v>
      </c>
      <c r="E386" s="15"/>
      <c r="F386" s="14"/>
      <c r="G386" s="14"/>
      <c r="H386" s="14"/>
    </row>
    <row r="387" spans="1:8" x14ac:dyDescent="0.3">
      <c r="A387" s="13"/>
      <c r="B387" s="16">
        <f>IF($A387=InvestorTable[[#This Row],[Investor Tally '#]],InvestorTable[[#This Row],[Investor Name]], NA())</f>
        <v>0</v>
      </c>
      <c r="C387" s="14"/>
      <c r="D387" s="17" t="e" cm="1">
        <f t="array" ref="D387">_xlfn.IFS(AND(InvestorTable[[#This Row],[Investor Tally '#]] = 'Payment Tracker'!$A387, 'Payment Tracker'!$C387="Dividend") = TRUE, InvestorTable[[#This Row],[Monthly ROI (₦)]], AND(InvestorTable[[#This Row],[Investor Tally '#]] = 'Payment Tracker'!$A387, 'Payment Tracker'!$C387="Capital") = TRUE, InvestorTable[[#This Row],[Investment Capital (₦)]], AND(InvestorTable[[#This Row],[Investor Tally '#]] = 'Payment Tracker'!$A387, 'Payment Tracker'!$C387="Refund") = TRUE, InvestorTable[[#This Row],[Investment Capital (₦)]] )</f>
        <v>#N/A</v>
      </c>
      <c r="E387" s="15"/>
      <c r="F387" s="14"/>
      <c r="G387" s="14"/>
      <c r="H387" s="14"/>
    </row>
    <row r="388" spans="1:8" x14ac:dyDescent="0.3">
      <c r="A388" s="13"/>
      <c r="B388" s="16">
        <f>IF($A388=InvestorTable[[#This Row],[Investor Tally '#]],InvestorTable[[#This Row],[Investor Name]], NA())</f>
        <v>0</v>
      </c>
      <c r="C388" s="14"/>
      <c r="D388" s="17" t="e" cm="1">
        <f t="array" ref="D388">_xlfn.IFS(AND(InvestorTable[[#This Row],[Investor Tally '#]] = 'Payment Tracker'!$A388, 'Payment Tracker'!$C388="Dividend") = TRUE, InvestorTable[[#This Row],[Monthly ROI (₦)]], AND(InvestorTable[[#This Row],[Investor Tally '#]] = 'Payment Tracker'!$A388, 'Payment Tracker'!$C388="Capital") = TRUE, InvestorTable[[#This Row],[Investment Capital (₦)]], AND(InvestorTable[[#This Row],[Investor Tally '#]] = 'Payment Tracker'!$A388, 'Payment Tracker'!$C388="Refund") = TRUE, InvestorTable[[#This Row],[Investment Capital (₦)]] )</f>
        <v>#N/A</v>
      </c>
      <c r="E388" s="15"/>
      <c r="F388" s="14"/>
      <c r="G388" s="14"/>
      <c r="H388" s="14"/>
    </row>
    <row r="389" spans="1:8" x14ac:dyDescent="0.3">
      <c r="A389" s="13"/>
      <c r="B389" s="16">
        <f>IF($A389=InvestorTable[[#This Row],[Investor Tally '#]],InvestorTable[[#This Row],[Investor Name]], NA())</f>
        <v>0</v>
      </c>
      <c r="C389" s="14"/>
      <c r="D389" s="17" t="e" cm="1">
        <f t="array" ref="D389">_xlfn.IFS(AND(InvestorTable[[#This Row],[Investor Tally '#]] = 'Payment Tracker'!$A389, 'Payment Tracker'!$C389="Dividend") = TRUE, InvestorTable[[#This Row],[Monthly ROI (₦)]], AND(InvestorTable[[#This Row],[Investor Tally '#]] = 'Payment Tracker'!$A389, 'Payment Tracker'!$C389="Capital") = TRUE, InvestorTable[[#This Row],[Investment Capital (₦)]], AND(InvestorTable[[#This Row],[Investor Tally '#]] = 'Payment Tracker'!$A389, 'Payment Tracker'!$C389="Refund") = TRUE, InvestorTable[[#This Row],[Investment Capital (₦)]] )</f>
        <v>#N/A</v>
      </c>
      <c r="E389" s="15"/>
      <c r="F389" s="14"/>
      <c r="G389" s="14"/>
      <c r="H389" s="14"/>
    </row>
    <row r="390" spans="1:8" x14ac:dyDescent="0.3">
      <c r="A390" s="13"/>
      <c r="B390" s="16">
        <f>IF($A390=InvestorTable[[#This Row],[Investor Tally '#]],InvestorTable[[#This Row],[Investor Name]], NA())</f>
        <v>0</v>
      </c>
      <c r="C390" s="14"/>
      <c r="D390" s="17" t="e" cm="1">
        <f t="array" ref="D390">_xlfn.IFS(AND(InvestorTable[[#This Row],[Investor Tally '#]] = 'Payment Tracker'!$A390, 'Payment Tracker'!$C390="Dividend") = TRUE, InvestorTable[[#This Row],[Monthly ROI (₦)]], AND(InvestorTable[[#This Row],[Investor Tally '#]] = 'Payment Tracker'!$A390, 'Payment Tracker'!$C390="Capital") = TRUE, InvestorTable[[#This Row],[Investment Capital (₦)]], AND(InvestorTable[[#This Row],[Investor Tally '#]] = 'Payment Tracker'!$A390, 'Payment Tracker'!$C390="Refund") = TRUE, InvestorTable[[#This Row],[Investment Capital (₦)]] )</f>
        <v>#N/A</v>
      </c>
      <c r="E390" s="15"/>
      <c r="F390" s="14"/>
      <c r="G390" s="14"/>
      <c r="H390" s="14"/>
    </row>
    <row r="391" spans="1:8" x14ac:dyDescent="0.3">
      <c r="A391" s="13"/>
      <c r="B391" s="16">
        <f>IF($A391=InvestorTable[[#This Row],[Investor Tally '#]],InvestorTable[[#This Row],[Investor Name]], NA())</f>
        <v>0</v>
      </c>
      <c r="C391" s="14"/>
      <c r="D391" s="17" t="e" cm="1">
        <f t="array" ref="D391">_xlfn.IFS(AND(InvestorTable[[#This Row],[Investor Tally '#]] = 'Payment Tracker'!$A391, 'Payment Tracker'!$C391="Dividend") = TRUE, InvestorTable[[#This Row],[Monthly ROI (₦)]], AND(InvestorTable[[#This Row],[Investor Tally '#]] = 'Payment Tracker'!$A391, 'Payment Tracker'!$C391="Capital") = TRUE, InvestorTable[[#This Row],[Investment Capital (₦)]], AND(InvestorTable[[#This Row],[Investor Tally '#]] = 'Payment Tracker'!$A391, 'Payment Tracker'!$C391="Refund") = TRUE, InvestorTable[[#This Row],[Investment Capital (₦)]] )</f>
        <v>#N/A</v>
      </c>
      <c r="E391" s="15"/>
      <c r="F391" s="14"/>
      <c r="G391" s="14"/>
      <c r="H391" s="14"/>
    </row>
    <row r="392" spans="1:8" x14ac:dyDescent="0.3">
      <c r="A392" s="13"/>
      <c r="B392" s="16">
        <f>IF($A392=InvestorTable[[#This Row],[Investor Tally '#]],InvestorTable[[#This Row],[Investor Name]], NA())</f>
        <v>0</v>
      </c>
      <c r="C392" s="14"/>
      <c r="D392" s="17" t="e" cm="1">
        <f t="array" ref="D392">_xlfn.IFS(AND(InvestorTable[[#This Row],[Investor Tally '#]] = 'Payment Tracker'!$A392, 'Payment Tracker'!$C392="Dividend") = TRUE, InvestorTable[[#This Row],[Monthly ROI (₦)]], AND(InvestorTable[[#This Row],[Investor Tally '#]] = 'Payment Tracker'!$A392, 'Payment Tracker'!$C392="Capital") = TRUE, InvestorTable[[#This Row],[Investment Capital (₦)]], AND(InvestorTable[[#This Row],[Investor Tally '#]] = 'Payment Tracker'!$A392, 'Payment Tracker'!$C392="Refund") = TRUE, InvestorTable[[#This Row],[Investment Capital (₦)]] )</f>
        <v>#N/A</v>
      </c>
      <c r="E392" s="15"/>
      <c r="F392" s="14"/>
      <c r="G392" s="14"/>
      <c r="H392" s="14"/>
    </row>
    <row r="393" spans="1:8" x14ac:dyDescent="0.3">
      <c r="A393" s="13"/>
      <c r="B393" s="16">
        <f>IF($A393=InvestorTable[[#This Row],[Investor Tally '#]],InvestorTable[[#This Row],[Investor Name]], NA())</f>
        <v>0</v>
      </c>
      <c r="C393" s="14"/>
      <c r="D393" s="17" t="e" cm="1">
        <f t="array" ref="D393">_xlfn.IFS(AND(InvestorTable[[#This Row],[Investor Tally '#]] = 'Payment Tracker'!$A393, 'Payment Tracker'!$C393="Dividend") = TRUE, InvestorTable[[#This Row],[Monthly ROI (₦)]], AND(InvestorTable[[#This Row],[Investor Tally '#]] = 'Payment Tracker'!$A393, 'Payment Tracker'!$C393="Capital") = TRUE, InvestorTable[[#This Row],[Investment Capital (₦)]], AND(InvestorTable[[#This Row],[Investor Tally '#]] = 'Payment Tracker'!$A393, 'Payment Tracker'!$C393="Refund") = TRUE, InvestorTable[[#This Row],[Investment Capital (₦)]] )</f>
        <v>#N/A</v>
      </c>
      <c r="E393" s="15"/>
      <c r="F393" s="14"/>
      <c r="G393" s="14"/>
      <c r="H393" s="14"/>
    </row>
    <row r="394" spans="1:8" x14ac:dyDescent="0.3">
      <c r="A394" s="13"/>
      <c r="B394" s="16">
        <f>IF($A394=InvestorTable[[#This Row],[Investor Tally '#]],InvestorTable[[#This Row],[Investor Name]], NA())</f>
        <v>0</v>
      </c>
      <c r="C394" s="14"/>
      <c r="D394" s="17" t="e" cm="1">
        <f t="array" ref="D394">_xlfn.IFS(AND(InvestorTable[[#This Row],[Investor Tally '#]] = 'Payment Tracker'!$A394, 'Payment Tracker'!$C394="Dividend") = TRUE, InvestorTable[[#This Row],[Monthly ROI (₦)]], AND(InvestorTable[[#This Row],[Investor Tally '#]] = 'Payment Tracker'!$A394, 'Payment Tracker'!$C394="Capital") = TRUE, InvestorTable[[#This Row],[Investment Capital (₦)]], AND(InvestorTable[[#This Row],[Investor Tally '#]] = 'Payment Tracker'!$A394, 'Payment Tracker'!$C394="Refund") = TRUE, InvestorTable[[#This Row],[Investment Capital (₦)]] )</f>
        <v>#N/A</v>
      </c>
      <c r="E394" s="15"/>
      <c r="F394" s="14"/>
      <c r="G394" s="14"/>
      <c r="H394" s="14"/>
    </row>
    <row r="395" spans="1:8" x14ac:dyDescent="0.3">
      <c r="A395" s="13"/>
      <c r="B395" s="16">
        <f>IF($A395=InvestorTable[[#This Row],[Investor Tally '#]],InvestorTable[[#This Row],[Investor Name]], NA())</f>
        <v>0</v>
      </c>
      <c r="C395" s="14"/>
      <c r="D395" s="17" t="e" cm="1">
        <f t="array" ref="D395">_xlfn.IFS(AND(InvestorTable[[#This Row],[Investor Tally '#]] = 'Payment Tracker'!$A395, 'Payment Tracker'!$C395="Dividend") = TRUE, InvestorTable[[#This Row],[Monthly ROI (₦)]], AND(InvestorTable[[#This Row],[Investor Tally '#]] = 'Payment Tracker'!$A395, 'Payment Tracker'!$C395="Capital") = TRUE, InvestorTable[[#This Row],[Investment Capital (₦)]], AND(InvestorTable[[#This Row],[Investor Tally '#]] = 'Payment Tracker'!$A395, 'Payment Tracker'!$C395="Refund") = TRUE, InvestorTable[[#This Row],[Investment Capital (₦)]] )</f>
        <v>#N/A</v>
      </c>
      <c r="E395" s="15"/>
      <c r="F395" s="14"/>
      <c r="G395" s="14"/>
      <c r="H395" s="14"/>
    </row>
    <row r="396" spans="1:8" x14ac:dyDescent="0.3">
      <c r="A396" s="13"/>
      <c r="B396" s="16">
        <f>IF($A396=InvestorTable[[#This Row],[Investor Tally '#]],InvestorTable[[#This Row],[Investor Name]], NA())</f>
        <v>0</v>
      </c>
      <c r="C396" s="14"/>
      <c r="D396" s="17" t="e" cm="1">
        <f t="array" ref="D396">_xlfn.IFS(AND(InvestorTable[[#This Row],[Investor Tally '#]] = 'Payment Tracker'!$A396, 'Payment Tracker'!$C396="Dividend") = TRUE, InvestorTable[[#This Row],[Monthly ROI (₦)]], AND(InvestorTable[[#This Row],[Investor Tally '#]] = 'Payment Tracker'!$A396, 'Payment Tracker'!$C396="Capital") = TRUE, InvestorTable[[#This Row],[Investment Capital (₦)]], AND(InvestorTable[[#This Row],[Investor Tally '#]] = 'Payment Tracker'!$A396, 'Payment Tracker'!$C396="Refund") = TRUE, InvestorTable[[#This Row],[Investment Capital (₦)]] )</f>
        <v>#N/A</v>
      </c>
      <c r="E396" s="15"/>
      <c r="F396" s="14"/>
      <c r="G396" s="14"/>
      <c r="H396" s="14"/>
    </row>
    <row r="397" spans="1:8" x14ac:dyDescent="0.3">
      <c r="A397" s="13"/>
      <c r="B397" s="16">
        <f>IF($A397=InvestorTable[[#This Row],[Investor Tally '#]],InvestorTable[[#This Row],[Investor Name]], NA())</f>
        <v>0</v>
      </c>
      <c r="C397" s="14"/>
      <c r="D397" s="17" t="e" cm="1">
        <f t="array" ref="D397">_xlfn.IFS(AND(InvestorTable[[#This Row],[Investor Tally '#]] = 'Payment Tracker'!$A397, 'Payment Tracker'!$C397="Dividend") = TRUE, InvestorTable[[#This Row],[Monthly ROI (₦)]], AND(InvestorTable[[#This Row],[Investor Tally '#]] = 'Payment Tracker'!$A397, 'Payment Tracker'!$C397="Capital") = TRUE, InvestorTable[[#This Row],[Investment Capital (₦)]], AND(InvestorTable[[#This Row],[Investor Tally '#]] = 'Payment Tracker'!$A397, 'Payment Tracker'!$C397="Refund") = TRUE, InvestorTable[[#This Row],[Investment Capital (₦)]] )</f>
        <v>#N/A</v>
      </c>
      <c r="E397" s="15"/>
      <c r="F397" s="14"/>
      <c r="G397" s="14"/>
      <c r="H397" s="14"/>
    </row>
    <row r="398" spans="1:8" x14ac:dyDescent="0.3">
      <c r="A398" s="13"/>
      <c r="B398" s="16">
        <f>IF($A398=InvestorTable[[#This Row],[Investor Tally '#]],InvestorTable[[#This Row],[Investor Name]], NA())</f>
        <v>0</v>
      </c>
      <c r="C398" s="14"/>
      <c r="D398" s="17" t="e" cm="1">
        <f t="array" ref="D398">_xlfn.IFS(AND(InvestorTable[[#This Row],[Investor Tally '#]] = 'Payment Tracker'!$A398, 'Payment Tracker'!$C398="Dividend") = TRUE, InvestorTable[[#This Row],[Monthly ROI (₦)]], AND(InvestorTable[[#This Row],[Investor Tally '#]] = 'Payment Tracker'!$A398, 'Payment Tracker'!$C398="Capital") = TRUE, InvestorTable[[#This Row],[Investment Capital (₦)]], AND(InvestorTable[[#This Row],[Investor Tally '#]] = 'Payment Tracker'!$A398, 'Payment Tracker'!$C398="Refund") = TRUE, InvestorTable[[#This Row],[Investment Capital (₦)]] )</f>
        <v>#N/A</v>
      </c>
      <c r="E398" s="15"/>
      <c r="F398" s="14"/>
      <c r="G398" s="14"/>
      <c r="H398" s="14"/>
    </row>
    <row r="399" spans="1:8" x14ac:dyDescent="0.3">
      <c r="A399" s="13"/>
      <c r="B399" s="16">
        <f>IF($A399=InvestorTable[[#This Row],[Investor Tally '#]],InvestorTable[[#This Row],[Investor Name]], NA())</f>
        <v>0</v>
      </c>
      <c r="C399" s="14"/>
      <c r="D399" s="17" t="e" cm="1">
        <f t="array" ref="D399">_xlfn.IFS(AND(InvestorTable[[#This Row],[Investor Tally '#]] = 'Payment Tracker'!$A399, 'Payment Tracker'!$C399="Dividend") = TRUE, InvestorTable[[#This Row],[Monthly ROI (₦)]], AND(InvestorTable[[#This Row],[Investor Tally '#]] = 'Payment Tracker'!$A399, 'Payment Tracker'!$C399="Capital") = TRUE, InvestorTable[[#This Row],[Investment Capital (₦)]], AND(InvestorTable[[#This Row],[Investor Tally '#]] = 'Payment Tracker'!$A399, 'Payment Tracker'!$C399="Refund") = TRUE, InvestorTable[[#This Row],[Investment Capital (₦)]] )</f>
        <v>#N/A</v>
      </c>
      <c r="E399" s="15"/>
      <c r="F399" s="14"/>
      <c r="G399" s="14"/>
      <c r="H399" s="14"/>
    </row>
    <row r="400" spans="1:8" x14ac:dyDescent="0.3">
      <c r="A400" s="13"/>
      <c r="B400" s="16">
        <f>IF($A400=InvestorTable[[#This Row],[Investor Tally '#]],InvestorTable[[#This Row],[Investor Name]], NA())</f>
        <v>0</v>
      </c>
      <c r="C400" s="14"/>
      <c r="D400" s="17" t="e" cm="1">
        <f t="array" ref="D400">_xlfn.IFS(AND(InvestorTable[[#This Row],[Investor Tally '#]] = 'Payment Tracker'!$A400, 'Payment Tracker'!$C400="Dividend") = TRUE, InvestorTable[[#This Row],[Monthly ROI (₦)]], AND(InvestorTable[[#This Row],[Investor Tally '#]] = 'Payment Tracker'!$A400, 'Payment Tracker'!$C400="Capital") = TRUE, InvestorTable[[#This Row],[Investment Capital (₦)]], AND(InvestorTable[[#This Row],[Investor Tally '#]] = 'Payment Tracker'!$A400, 'Payment Tracker'!$C400="Refund") = TRUE, InvestorTable[[#This Row],[Investment Capital (₦)]] )</f>
        <v>#N/A</v>
      </c>
      <c r="E400" s="15"/>
      <c r="F400" s="14"/>
      <c r="G400" s="14"/>
      <c r="H400" s="14"/>
    </row>
    <row r="401" spans="1:8" x14ac:dyDescent="0.3">
      <c r="A401" s="13"/>
      <c r="B401" s="16">
        <f>IF($A401=InvestorTable[[#This Row],[Investor Tally '#]],InvestorTable[[#This Row],[Investor Name]], NA())</f>
        <v>0</v>
      </c>
      <c r="C401" s="14"/>
      <c r="D401" s="17" t="e" cm="1">
        <f t="array" ref="D401">_xlfn.IFS(AND(InvestorTable[[#This Row],[Investor Tally '#]] = 'Payment Tracker'!$A401, 'Payment Tracker'!$C401="Dividend") = TRUE, InvestorTable[[#This Row],[Monthly ROI (₦)]], AND(InvestorTable[[#This Row],[Investor Tally '#]] = 'Payment Tracker'!$A401, 'Payment Tracker'!$C401="Capital") = TRUE, InvestorTable[[#This Row],[Investment Capital (₦)]], AND(InvestorTable[[#This Row],[Investor Tally '#]] = 'Payment Tracker'!$A401, 'Payment Tracker'!$C401="Refund") = TRUE, InvestorTable[[#This Row],[Investment Capital (₦)]] )</f>
        <v>#N/A</v>
      </c>
      <c r="E401" s="15"/>
      <c r="F401" s="14"/>
      <c r="G401" s="14"/>
      <c r="H401" s="14"/>
    </row>
    <row r="402" spans="1:8" x14ac:dyDescent="0.3">
      <c r="A402" s="13"/>
      <c r="B402" s="16">
        <f>IF($A402=InvestorTable[[#This Row],[Investor Tally '#]],InvestorTable[[#This Row],[Investor Name]], NA())</f>
        <v>0</v>
      </c>
      <c r="C402" s="14"/>
      <c r="D402" s="17" t="e" cm="1">
        <f t="array" ref="D402">_xlfn.IFS(AND(InvestorTable[[#This Row],[Investor Tally '#]] = 'Payment Tracker'!$A402, 'Payment Tracker'!$C402="Dividend") = TRUE, InvestorTable[[#This Row],[Monthly ROI (₦)]], AND(InvestorTable[[#This Row],[Investor Tally '#]] = 'Payment Tracker'!$A402, 'Payment Tracker'!$C402="Capital") = TRUE, InvestorTable[[#This Row],[Investment Capital (₦)]], AND(InvestorTable[[#This Row],[Investor Tally '#]] = 'Payment Tracker'!$A402, 'Payment Tracker'!$C402="Refund") = TRUE, InvestorTable[[#This Row],[Investment Capital (₦)]] )</f>
        <v>#N/A</v>
      </c>
      <c r="E402" s="15"/>
      <c r="F402" s="14"/>
      <c r="G402" s="14"/>
      <c r="H402" s="14"/>
    </row>
    <row r="403" spans="1:8" x14ac:dyDescent="0.3">
      <c r="A403" s="13"/>
      <c r="B403" s="16">
        <f>IF($A403=InvestorTable[[#This Row],[Investor Tally '#]],InvestorTable[[#This Row],[Investor Name]], NA())</f>
        <v>0</v>
      </c>
      <c r="C403" s="14"/>
      <c r="D403" s="17" t="e" cm="1">
        <f t="array" ref="D403">_xlfn.IFS(AND(InvestorTable[[#This Row],[Investor Tally '#]] = 'Payment Tracker'!$A403, 'Payment Tracker'!$C403="Dividend") = TRUE, InvestorTable[[#This Row],[Monthly ROI (₦)]], AND(InvestorTable[[#This Row],[Investor Tally '#]] = 'Payment Tracker'!$A403, 'Payment Tracker'!$C403="Capital") = TRUE, InvestorTable[[#This Row],[Investment Capital (₦)]], AND(InvestorTable[[#This Row],[Investor Tally '#]] = 'Payment Tracker'!$A403, 'Payment Tracker'!$C403="Refund") = TRUE, InvestorTable[[#This Row],[Investment Capital (₦)]] )</f>
        <v>#N/A</v>
      </c>
      <c r="E403" s="15"/>
      <c r="F403" s="14"/>
      <c r="G403" s="14"/>
      <c r="H403" s="14"/>
    </row>
    <row r="404" spans="1:8" x14ac:dyDescent="0.3">
      <c r="A404" s="13"/>
      <c r="B404" s="16">
        <f>IF($A404=InvestorTable[[#This Row],[Investor Tally '#]],InvestorTable[[#This Row],[Investor Name]], NA())</f>
        <v>0</v>
      </c>
      <c r="C404" s="14"/>
      <c r="D404" s="17" t="e" cm="1">
        <f t="array" ref="D404">_xlfn.IFS(AND(InvestorTable[[#This Row],[Investor Tally '#]] = 'Payment Tracker'!$A404, 'Payment Tracker'!$C404="Dividend") = TRUE, InvestorTable[[#This Row],[Monthly ROI (₦)]], AND(InvestorTable[[#This Row],[Investor Tally '#]] = 'Payment Tracker'!$A404, 'Payment Tracker'!$C404="Capital") = TRUE, InvestorTable[[#This Row],[Investment Capital (₦)]], AND(InvestorTable[[#This Row],[Investor Tally '#]] = 'Payment Tracker'!$A404, 'Payment Tracker'!$C404="Refund") = TRUE, InvestorTable[[#This Row],[Investment Capital (₦)]] )</f>
        <v>#N/A</v>
      </c>
      <c r="E404" s="15"/>
      <c r="F404" s="14"/>
      <c r="G404" s="14"/>
      <c r="H404" s="14"/>
    </row>
    <row r="405" spans="1:8" x14ac:dyDescent="0.3">
      <c r="A405" s="13"/>
      <c r="B405" s="16">
        <f>IF($A405=InvestorTable[[#This Row],[Investor Tally '#]],InvestorTable[[#This Row],[Investor Name]], NA())</f>
        <v>0</v>
      </c>
      <c r="C405" s="14"/>
      <c r="D405" s="17" t="e" cm="1">
        <f t="array" ref="D405">_xlfn.IFS(AND(InvestorTable[[#This Row],[Investor Tally '#]] = 'Payment Tracker'!$A405, 'Payment Tracker'!$C405="Dividend") = TRUE, InvestorTable[[#This Row],[Monthly ROI (₦)]], AND(InvestorTable[[#This Row],[Investor Tally '#]] = 'Payment Tracker'!$A405, 'Payment Tracker'!$C405="Capital") = TRUE, InvestorTable[[#This Row],[Investment Capital (₦)]], AND(InvestorTable[[#This Row],[Investor Tally '#]] = 'Payment Tracker'!$A405, 'Payment Tracker'!$C405="Refund") = TRUE, InvestorTable[[#This Row],[Investment Capital (₦)]] )</f>
        <v>#N/A</v>
      </c>
      <c r="E405" s="15"/>
      <c r="F405" s="14"/>
      <c r="G405" s="14"/>
      <c r="H405" s="14"/>
    </row>
    <row r="406" spans="1:8" x14ac:dyDescent="0.3">
      <c r="A406" s="13"/>
      <c r="B406" s="16">
        <f>IF($A406=InvestorTable[[#This Row],[Investor Tally '#]],InvestorTable[[#This Row],[Investor Name]], NA())</f>
        <v>0</v>
      </c>
      <c r="C406" s="14"/>
      <c r="D406" s="17" t="e" cm="1">
        <f t="array" ref="D406">_xlfn.IFS(AND(InvestorTable[[#This Row],[Investor Tally '#]] = 'Payment Tracker'!$A406, 'Payment Tracker'!$C406="Dividend") = TRUE, InvestorTable[[#This Row],[Monthly ROI (₦)]], AND(InvestorTable[[#This Row],[Investor Tally '#]] = 'Payment Tracker'!$A406, 'Payment Tracker'!$C406="Capital") = TRUE, InvestorTable[[#This Row],[Investment Capital (₦)]], AND(InvestorTable[[#This Row],[Investor Tally '#]] = 'Payment Tracker'!$A406, 'Payment Tracker'!$C406="Refund") = TRUE, InvestorTable[[#This Row],[Investment Capital (₦)]] )</f>
        <v>#N/A</v>
      </c>
      <c r="E406" s="15"/>
      <c r="F406" s="14"/>
      <c r="G406" s="14"/>
      <c r="H406" s="14"/>
    </row>
    <row r="407" spans="1:8" x14ac:dyDescent="0.3">
      <c r="A407" s="13"/>
      <c r="B407" s="16">
        <f>IF($A407=InvestorTable[[#This Row],[Investor Tally '#]],InvestorTable[[#This Row],[Investor Name]], NA())</f>
        <v>0</v>
      </c>
      <c r="C407" s="14"/>
      <c r="D407" s="17" t="e" cm="1">
        <f t="array" ref="D407">_xlfn.IFS(AND(InvestorTable[[#This Row],[Investor Tally '#]] = 'Payment Tracker'!$A407, 'Payment Tracker'!$C407="Dividend") = TRUE, InvestorTable[[#This Row],[Monthly ROI (₦)]], AND(InvestorTable[[#This Row],[Investor Tally '#]] = 'Payment Tracker'!$A407, 'Payment Tracker'!$C407="Capital") = TRUE, InvestorTable[[#This Row],[Investment Capital (₦)]], AND(InvestorTable[[#This Row],[Investor Tally '#]] = 'Payment Tracker'!$A407, 'Payment Tracker'!$C407="Refund") = TRUE, InvestorTable[[#This Row],[Investment Capital (₦)]] )</f>
        <v>#N/A</v>
      </c>
      <c r="E407" s="15"/>
      <c r="F407" s="14"/>
      <c r="G407" s="14"/>
      <c r="H407" s="14"/>
    </row>
    <row r="408" spans="1:8" x14ac:dyDescent="0.3">
      <c r="A408" s="13"/>
      <c r="B408" s="16">
        <f>IF($A408=InvestorTable[[#This Row],[Investor Tally '#]],InvestorTable[[#This Row],[Investor Name]], NA())</f>
        <v>0</v>
      </c>
      <c r="C408" s="14"/>
      <c r="D408" s="17" t="e" cm="1">
        <f t="array" ref="D408">_xlfn.IFS(AND(InvestorTable[[#This Row],[Investor Tally '#]] = 'Payment Tracker'!$A408, 'Payment Tracker'!$C408="Dividend") = TRUE, InvestorTable[[#This Row],[Monthly ROI (₦)]], AND(InvestorTable[[#This Row],[Investor Tally '#]] = 'Payment Tracker'!$A408, 'Payment Tracker'!$C408="Capital") = TRUE, InvestorTable[[#This Row],[Investment Capital (₦)]], AND(InvestorTable[[#This Row],[Investor Tally '#]] = 'Payment Tracker'!$A408, 'Payment Tracker'!$C408="Refund") = TRUE, InvestorTable[[#This Row],[Investment Capital (₦)]] )</f>
        <v>#N/A</v>
      </c>
      <c r="E408" s="15"/>
      <c r="F408" s="14"/>
      <c r="G408" s="14"/>
      <c r="H408" s="14"/>
    </row>
    <row r="409" spans="1:8" x14ac:dyDescent="0.3">
      <c r="A409" s="13"/>
      <c r="B409" s="16">
        <f>IF($A409=InvestorTable[[#This Row],[Investor Tally '#]],InvestorTable[[#This Row],[Investor Name]], NA())</f>
        <v>0</v>
      </c>
      <c r="C409" s="14"/>
      <c r="D409" s="17" t="e" cm="1">
        <f t="array" ref="D409">_xlfn.IFS(AND(InvestorTable[[#This Row],[Investor Tally '#]] = 'Payment Tracker'!$A409, 'Payment Tracker'!$C409="Dividend") = TRUE, InvestorTable[[#This Row],[Monthly ROI (₦)]], AND(InvestorTable[[#This Row],[Investor Tally '#]] = 'Payment Tracker'!$A409, 'Payment Tracker'!$C409="Capital") = TRUE, InvestorTable[[#This Row],[Investment Capital (₦)]], AND(InvestorTable[[#This Row],[Investor Tally '#]] = 'Payment Tracker'!$A409, 'Payment Tracker'!$C409="Refund") = TRUE, InvestorTable[[#This Row],[Investment Capital (₦)]] )</f>
        <v>#N/A</v>
      </c>
      <c r="E409" s="15"/>
      <c r="F409" s="14"/>
      <c r="G409" s="14"/>
      <c r="H409" s="14"/>
    </row>
    <row r="410" spans="1:8" x14ac:dyDescent="0.3">
      <c r="A410" s="13"/>
      <c r="B410" s="16">
        <f>IF($A410=InvestorTable[[#This Row],[Investor Tally '#]],InvestorTable[[#This Row],[Investor Name]], NA())</f>
        <v>0</v>
      </c>
      <c r="C410" s="14"/>
      <c r="D410" s="17" t="e" cm="1">
        <f t="array" ref="D410">_xlfn.IFS(AND(InvestorTable[[#This Row],[Investor Tally '#]] = 'Payment Tracker'!$A410, 'Payment Tracker'!$C410="Dividend") = TRUE, InvestorTable[[#This Row],[Monthly ROI (₦)]], AND(InvestorTable[[#This Row],[Investor Tally '#]] = 'Payment Tracker'!$A410, 'Payment Tracker'!$C410="Capital") = TRUE, InvestorTable[[#This Row],[Investment Capital (₦)]], AND(InvestorTable[[#This Row],[Investor Tally '#]] = 'Payment Tracker'!$A410, 'Payment Tracker'!$C410="Refund") = TRUE, InvestorTable[[#This Row],[Investment Capital (₦)]] )</f>
        <v>#N/A</v>
      </c>
      <c r="E410" s="15"/>
      <c r="F410" s="14"/>
      <c r="G410" s="14"/>
      <c r="H410" s="14"/>
    </row>
    <row r="411" spans="1:8" x14ac:dyDescent="0.3">
      <c r="A411" s="13"/>
      <c r="B411" s="16">
        <f>IF($A411=InvestorTable[[#This Row],[Investor Tally '#]],InvestorTable[[#This Row],[Investor Name]], NA())</f>
        <v>0</v>
      </c>
      <c r="C411" s="14"/>
      <c r="D411" s="17" t="e" cm="1">
        <f t="array" ref="D411">_xlfn.IFS(AND(InvestorTable[[#This Row],[Investor Tally '#]] = 'Payment Tracker'!$A411, 'Payment Tracker'!$C411="Dividend") = TRUE, InvestorTable[[#This Row],[Monthly ROI (₦)]], AND(InvestorTable[[#This Row],[Investor Tally '#]] = 'Payment Tracker'!$A411, 'Payment Tracker'!$C411="Capital") = TRUE, InvestorTable[[#This Row],[Investment Capital (₦)]], AND(InvestorTable[[#This Row],[Investor Tally '#]] = 'Payment Tracker'!$A411, 'Payment Tracker'!$C411="Refund") = TRUE, InvestorTable[[#This Row],[Investment Capital (₦)]] )</f>
        <v>#N/A</v>
      </c>
      <c r="E411" s="15"/>
      <c r="F411" s="14"/>
      <c r="G411" s="14"/>
      <c r="H411" s="14"/>
    </row>
    <row r="412" spans="1:8" x14ac:dyDescent="0.3">
      <c r="A412" s="13"/>
      <c r="B412" s="16">
        <f>IF($A412=InvestorTable[[#This Row],[Investor Tally '#]],InvestorTable[[#This Row],[Investor Name]], NA())</f>
        <v>0</v>
      </c>
      <c r="C412" s="14"/>
      <c r="D412" s="17" t="e" cm="1">
        <f t="array" ref="D412">_xlfn.IFS(AND(InvestorTable[[#This Row],[Investor Tally '#]] = 'Payment Tracker'!$A412, 'Payment Tracker'!$C412="Dividend") = TRUE, InvestorTable[[#This Row],[Monthly ROI (₦)]], AND(InvestorTable[[#This Row],[Investor Tally '#]] = 'Payment Tracker'!$A412, 'Payment Tracker'!$C412="Capital") = TRUE, InvestorTable[[#This Row],[Investment Capital (₦)]], AND(InvestorTable[[#This Row],[Investor Tally '#]] = 'Payment Tracker'!$A412, 'Payment Tracker'!$C412="Refund") = TRUE, InvestorTable[[#This Row],[Investment Capital (₦)]] )</f>
        <v>#N/A</v>
      </c>
      <c r="E412" s="15"/>
      <c r="F412" s="14"/>
      <c r="G412" s="14"/>
      <c r="H412" s="14"/>
    </row>
    <row r="413" spans="1:8" x14ac:dyDescent="0.3">
      <c r="A413" s="13"/>
      <c r="B413" s="16">
        <f>IF($A413=InvestorTable[[#This Row],[Investor Tally '#]],InvestorTable[[#This Row],[Investor Name]], NA())</f>
        <v>0</v>
      </c>
      <c r="C413" s="14"/>
      <c r="D413" s="17" t="e" cm="1">
        <f t="array" ref="D413">_xlfn.IFS(AND(InvestorTable[[#This Row],[Investor Tally '#]] = 'Payment Tracker'!$A413, 'Payment Tracker'!$C413="Dividend") = TRUE, InvestorTable[[#This Row],[Monthly ROI (₦)]], AND(InvestorTable[[#This Row],[Investor Tally '#]] = 'Payment Tracker'!$A413, 'Payment Tracker'!$C413="Capital") = TRUE, InvestorTable[[#This Row],[Investment Capital (₦)]], AND(InvestorTable[[#This Row],[Investor Tally '#]] = 'Payment Tracker'!$A413, 'Payment Tracker'!$C413="Refund") = TRUE, InvestorTable[[#This Row],[Investment Capital (₦)]] )</f>
        <v>#N/A</v>
      </c>
      <c r="E413" s="15"/>
      <c r="F413" s="14"/>
      <c r="G413" s="14"/>
      <c r="H413" s="14"/>
    </row>
    <row r="414" spans="1:8" x14ac:dyDescent="0.3">
      <c r="A414" s="13"/>
      <c r="B414" s="16">
        <f>IF($A414=InvestorTable[[#This Row],[Investor Tally '#]],InvestorTable[[#This Row],[Investor Name]], NA())</f>
        <v>0</v>
      </c>
      <c r="C414" s="14"/>
      <c r="D414" s="17" t="e" cm="1">
        <f t="array" ref="D414">_xlfn.IFS(AND(InvestorTable[[#This Row],[Investor Tally '#]] = 'Payment Tracker'!$A414, 'Payment Tracker'!$C414="Dividend") = TRUE, InvestorTable[[#This Row],[Monthly ROI (₦)]], AND(InvestorTable[[#This Row],[Investor Tally '#]] = 'Payment Tracker'!$A414, 'Payment Tracker'!$C414="Capital") = TRUE, InvestorTable[[#This Row],[Investment Capital (₦)]], AND(InvestorTable[[#This Row],[Investor Tally '#]] = 'Payment Tracker'!$A414, 'Payment Tracker'!$C414="Refund") = TRUE, InvestorTable[[#This Row],[Investment Capital (₦)]] )</f>
        <v>#N/A</v>
      </c>
      <c r="E414" s="15"/>
      <c r="F414" s="14"/>
      <c r="G414" s="14"/>
      <c r="H414" s="14"/>
    </row>
    <row r="415" spans="1:8" x14ac:dyDescent="0.3">
      <c r="A415" s="13"/>
      <c r="B415" s="16">
        <f>IF($A415=InvestorTable[[#This Row],[Investor Tally '#]],InvestorTable[[#This Row],[Investor Name]], NA())</f>
        <v>0</v>
      </c>
      <c r="C415" s="14"/>
      <c r="D415" s="17" t="e" cm="1">
        <f t="array" ref="D415">_xlfn.IFS(AND(InvestorTable[[#This Row],[Investor Tally '#]] = 'Payment Tracker'!$A415, 'Payment Tracker'!$C415="Dividend") = TRUE, InvestorTable[[#This Row],[Monthly ROI (₦)]], AND(InvestorTable[[#This Row],[Investor Tally '#]] = 'Payment Tracker'!$A415, 'Payment Tracker'!$C415="Capital") = TRUE, InvestorTable[[#This Row],[Investment Capital (₦)]], AND(InvestorTable[[#This Row],[Investor Tally '#]] = 'Payment Tracker'!$A415, 'Payment Tracker'!$C415="Refund") = TRUE, InvestorTable[[#This Row],[Investment Capital (₦)]] )</f>
        <v>#N/A</v>
      </c>
      <c r="E415" s="15"/>
      <c r="F415" s="14"/>
      <c r="G415" s="14"/>
      <c r="H415" s="14"/>
    </row>
    <row r="416" spans="1:8" x14ac:dyDescent="0.3">
      <c r="A416" s="13"/>
      <c r="B416" s="16">
        <f>IF($A416=InvestorTable[[#This Row],[Investor Tally '#]],InvestorTable[[#This Row],[Investor Name]], NA())</f>
        <v>0</v>
      </c>
      <c r="C416" s="14"/>
      <c r="D416" s="17" t="e" cm="1">
        <f t="array" ref="D416">_xlfn.IFS(AND(InvestorTable[[#This Row],[Investor Tally '#]] = 'Payment Tracker'!$A416, 'Payment Tracker'!$C416="Dividend") = TRUE, InvestorTable[[#This Row],[Monthly ROI (₦)]], AND(InvestorTable[[#This Row],[Investor Tally '#]] = 'Payment Tracker'!$A416, 'Payment Tracker'!$C416="Capital") = TRUE, InvestorTable[[#This Row],[Investment Capital (₦)]], AND(InvestorTable[[#This Row],[Investor Tally '#]] = 'Payment Tracker'!$A416, 'Payment Tracker'!$C416="Refund") = TRUE, InvestorTable[[#This Row],[Investment Capital (₦)]] )</f>
        <v>#N/A</v>
      </c>
      <c r="E416" s="15"/>
      <c r="F416" s="14"/>
      <c r="G416" s="14"/>
      <c r="H416" s="14"/>
    </row>
    <row r="417" spans="1:8" x14ac:dyDescent="0.3">
      <c r="A417" s="13"/>
      <c r="B417" s="16">
        <f>IF($A417=InvestorTable[[#This Row],[Investor Tally '#]],InvestorTable[[#This Row],[Investor Name]], NA())</f>
        <v>0</v>
      </c>
      <c r="C417" s="14"/>
      <c r="D417" s="17" t="e" cm="1">
        <f t="array" ref="D417">_xlfn.IFS(AND(InvestorTable[[#This Row],[Investor Tally '#]] = 'Payment Tracker'!$A417, 'Payment Tracker'!$C417="Dividend") = TRUE, InvestorTable[[#This Row],[Monthly ROI (₦)]], AND(InvestorTable[[#This Row],[Investor Tally '#]] = 'Payment Tracker'!$A417, 'Payment Tracker'!$C417="Capital") = TRUE, InvestorTable[[#This Row],[Investment Capital (₦)]], AND(InvestorTable[[#This Row],[Investor Tally '#]] = 'Payment Tracker'!$A417, 'Payment Tracker'!$C417="Refund") = TRUE, InvestorTable[[#This Row],[Investment Capital (₦)]] )</f>
        <v>#N/A</v>
      </c>
      <c r="E417" s="15"/>
      <c r="F417" s="14"/>
      <c r="G417" s="14"/>
      <c r="H417" s="14"/>
    </row>
    <row r="418" spans="1:8" x14ac:dyDescent="0.3">
      <c r="A418" s="13"/>
      <c r="B418" s="16">
        <f>IF($A418=InvestorTable[[#This Row],[Investor Tally '#]],InvestorTable[[#This Row],[Investor Name]], NA())</f>
        <v>0</v>
      </c>
      <c r="C418" s="14"/>
      <c r="D418" s="17" t="e" cm="1">
        <f t="array" ref="D418">_xlfn.IFS(AND(InvestorTable[[#This Row],[Investor Tally '#]] = 'Payment Tracker'!$A418, 'Payment Tracker'!$C418="Dividend") = TRUE, InvestorTable[[#This Row],[Monthly ROI (₦)]], AND(InvestorTable[[#This Row],[Investor Tally '#]] = 'Payment Tracker'!$A418, 'Payment Tracker'!$C418="Capital") = TRUE, InvestorTable[[#This Row],[Investment Capital (₦)]], AND(InvestorTable[[#This Row],[Investor Tally '#]] = 'Payment Tracker'!$A418, 'Payment Tracker'!$C418="Refund") = TRUE, InvestorTable[[#This Row],[Investment Capital (₦)]] )</f>
        <v>#N/A</v>
      </c>
      <c r="E418" s="15"/>
      <c r="F418" s="14"/>
      <c r="G418" s="14"/>
      <c r="H418" s="14"/>
    </row>
    <row r="419" spans="1:8" x14ac:dyDescent="0.3">
      <c r="A419" s="13"/>
      <c r="B419" s="16">
        <f>IF($A419=InvestorTable[[#This Row],[Investor Tally '#]],InvestorTable[[#This Row],[Investor Name]], NA())</f>
        <v>0</v>
      </c>
      <c r="C419" s="14"/>
      <c r="D419" s="17" t="e" cm="1">
        <f t="array" ref="D419">_xlfn.IFS(AND(InvestorTable[[#This Row],[Investor Tally '#]] = 'Payment Tracker'!$A419, 'Payment Tracker'!$C419="Dividend") = TRUE, InvestorTable[[#This Row],[Monthly ROI (₦)]], AND(InvestorTable[[#This Row],[Investor Tally '#]] = 'Payment Tracker'!$A419, 'Payment Tracker'!$C419="Capital") = TRUE, InvestorTable[[#This Row],[Investment Capital (₦)]], AND(InvestorTable[[#This Row],[Investor Tally '#]] = 'Payment Tracker'!$A419, 'Payment Tracker'!$C419="Refund") = TRUE, InvestorTable[[#This Row],[Investment Capital (₦)]] )</f>
        <v>#N/A</v>
      </c>
      <c r="E419" s="15"/>
      <c r="F419" s="14"/>
      <c r="G419" s="14"/>
      <c r="H419" s="14"/>
    </row>
    <row r="420" spans="1:8" x14ac:dyDescent="0.3">
      <c r="A420" s="13"/>
      <c r="B420" s="16">
        <f>IF($A420=InvestorTable[[#This Row],[Investor Tally '#]],InvestorTable[[#This Row],[Investor Name]], NA())</f>
        <v>0</v>
      </c>
      <c r="C420" s="14"/>
      <c r="D420" s="17" t="e" cm="1">
        <f t="array" ref="D420">_xlfn.IFS(AND(InvestorTable[[#This Row],[Investor Tally '#]] = 'Payment Tracker'!$A420, 'Payment Tracker'!$C420="Dividend") = TRUE, InvestorTable[[#This Row],[Monthly ROI (₦)]], AND(InvestorTable[[#This Row],[Investor Tally '#]] = 'Payment Tracker'!$A420, 'Payment Tracker'!$C420="Capital") = TRUE, InvestorTable[[#This Row],[Investment Capital (₦)]], AND(InvestorTable[[#This Row],[Investor Tally '#]] = 'Payment Tracker'!$A420, 'Payment Tracker'!$C420="Refund") = TRUE, InvestorTable[[#This Row],[Investment Capital (₦)]] )</f>
        <v>#N/A</v>
      </c>
      <c r="E420" s="15"/>
      <c r="F420" s="14"/>
      <c r="G420" s="14"/>
      <c r="H420" s="14"/>
    </row>
    <row r="421" spans="1:8" x14ac:dyDescent="0.3">
      <c r="A421" s="13"/>
      <c r="B421" s="16">
        <f>IF($A421=InvestorTable[[#This Row],[Investor Tally '#]],InvestorTable[[#This Row],[Investor Name]], NA())</f>
        <v>0</v>
      </c>
      <c r="C421" s="14"/>
      <c r="D421" s="17" t="e" cm="1">
        <f t="array" ref="D421">_xlfn.IFS(AND(InvestorTable[[#This Row],[Investor Tally '#]] = 'Payment Tracker'!$A421, 'Payment Tracker'!$C421="Dividend") = TRUE, InvestorTable[[#This Row],[Monthly ROI (₦)]], AND(InvestorTable[[#This Row],[Investor Tally '#]] = 'Payment Tracker'!$A421, 'Payment Tracker'!$C421="Capital") = TRUE, InvestorTable[[#This Row],[Investment Capital (₦)]], AND(InvestorTable[[#This Row],[Investor Tally '#]] = 'Payment Tracker'!$A421, 'Payment Tracker'!$C421="Refund") = TRUE, InvestorTable[[#This Row],[Investment Capital (₦)]] )</f>
        <v>#N/A</v>
      </c>
      <c r="E421" s="15"/>
      <c r="F421" s="14"/>
      <c r="G421" s="14"/>
      <c r="H421" s="14"/>
    </row>
    <row r="422" spans="1:8" x14ac:dyDescent="0.3">
      <c r="A422" s="13"/>
      <c r="B422" s="16">
        <f>IF($A422=InvestorTable[[#This Row],[Investor Tally '#]],InvestorTable[[#This Row],[Investor Name]], NA())</f>
        <v>0</v>
      </c>
      <c r="C422" s="14"/>
      <c r="D422" s="17" t="e" cm="1">
        <f t="array" ref="D422">_xlfn.IFS(AND(InvestorTable[[#This Row],[Investor Tally '#]] = 'Payment Tracker'!$A422, 'Payment Tracker'!$C422="Dividend") = TRUE, InvestorTable[[#This Row],[Monthly ROI (₦)]], AND(InvestorTable[[#This Row],[Investor Tally '#]] = 'Payment Tracker'!$A422, 'Payment Tracker'!$C422="Capital") = TRUE, InvestorTable[[#This Row],[Investment Capital (₦)]], AND(InvestorTable[[#This Row],[Investor Tally '#]] = 'Payment Tracker'!$A422, 'Payment Tracker'!$C422="Refund") = TRUE, InvestorTable[[#This Row],[Investment Capital (₦)]] )</f>
        <v>#N/A</v>
      </c>
      <c r="E422" s="15"/>
      <c r="F422" s="14"/>
      <c r="G422" s="14"/>
      <c r="H422" s="14"/>
    </row>
    <row r="423" spans="1:8" x14ac:dyDescent="0.3">
      <c r="A423" s="13"/>
      <c r="B423" s="16">
        <f>IF($A423=InvestorTable[[#This Row],[Investor Tally '#]],InvestorTable[[#This Row],[Investor Name]], NA())</f>
        <v>0</v>
      </c>
      <c r="C423" s="14"/>
      <c r="D423" s="17" t="e" cm="1">
        <f t="array" ref="D423">_xlfn.IFS(AND(InvestorTable[[#This Row],[Investor Tally '#]] = 'Payment Tracker'!$A423, 'Payment Tracker'!$C423="Dividend") = TRUE, InvestorTable[[#This Row],[Monthly ROI (₦)]], AND(InvestorTable[[#This Row],[Investor Tally '#]] = 'Payment Tracker'!$A423, 'Payment Tracker'!$C423="Capital") = TRUE, InvestorTable[[#This Row],[Investment Capital (₦)]], AND(InvestorTable[[#This Row],[Investor Tally '#]] = 'Payment Tracker'!$A423, 'Payment Tracker'!$C423="Refund") = TRUE, InvestorTable[[#This Row],[Investment Capital (₦)]] )</f>
        <v>#N/A</v>
      </c>
      <c r="E423" s="15"/>
      <c r="F423" s="14"/>
      <c r="G423" s="14"/>
      <c r="H423" s="14"/>
    </row>
    <row r="424" spans="1:8" x14ac:dyDescent="0.3">
      <c r="A424" s="13"/>
      <c r="B424" s="16">
        <f>IF($A424=InvestorTable[[#This Row],[Investor Tally '#]],InvestorTable[[#This Row],[Investor Name]], NA())</f>
        <v>0</v>
      </c>
      <c r="C424" s="14"/>
      <c r="D424" s="17" t="e" cm="1">
        <f t="array" ref="D424">_xlfn.IFS(AND(InvestorTable[[#This Row],[Investor Tally '#]] = 'Payment Tracker'!$A424, 'Payment Tracker'!$C424="Dividend") = TRUE, InvestorTable[[#This Row],[Monthly ROI (₦)]], AND(InvestorTable[[#This Row],[Investor Tally '#]] = 'Payment Tracker'!$A424, 'Payment Tracker'!$C424="Capital") = TRUE, InvestorTable[[#This Row],[Investment Capital (₦)]], AND(InvestorTable[[#This Row],[Investor Tally '#]] = 'Payment Tracker'!$A424, 'Payment Tracker'!$C424="Refund") = TRUE, InvestorTable[[#This Row],[Investment Capital (₦)]] )</f>
        <v>#N/A</v>
      </c>
      <c r="E424" s="15"/>
      <c r="F424" s="14"/>
      <c r="G424" s="14"/>
      <c r="H424" s="14"/>
    </row>
    <row r="425" spans="1:8" x14ac:dyDescent="0.3">
      <c r="A425" s="13"/>
      <c r="B425" s="16">
        <f>IF($A425=InvestorTable[[#This Row],[Investor Tally '#]],InvestorTable[[#This Row],[Investor Name]], NA())</f>
        <v>0</v>
      </c>
      <c r="C425" s="14"/>
      <c r="D425" s="17" t="e" cm="1">
        <f t="array" ref="D425">_xlfn.IFS(AND(InvestorTable[[#This Row],[Investor Tally '#]] = 'Payment Tracker'!$A425, 'Payment Tracker'!$C425="Dividend") = TRUE, InvestorTable[[#This Row],[Monthly ROI (₦)]], AND(InvestorTable[[#This Row],[Investor Tally '#]] = 'Payment Tracker'!$A425, 'Payment Tracker'!$C425="Capital") = TRUE, InvestorTable[[#This Row],[Investment Capital (₦)]], AND(InvestorTable[[#This Row],[Investor Tally '#]] = 'Payment Tracker'!$A425, 'Payment Tracker'!$C425="Refund") = TRUE, InvestorTable[[#This Row],[Investment Capital (₦)]] )</f>
        <v>#N/A</v>
      </c>
      <c r="E425" s="15"/>
      <c r="F425" s="14"/>
      <c r="G425" s="14"/>
      <c r="H425" s="14"/>
    </row>
    <row r="426" spans="1:8" x14ac:dyDescent="0.3">
      <c r="A426" s="13"/>
      <c r="B426" s="16">
        <f>IF($A426=InvestorTable[[#This Row],[Investor Tally '#]],InvestorTable[[#This Row],[Investor Name]], NA())</f>
        <v>0</v>
      </c>
      <c r="C426" s="14"/>
      <c r="D426" s="17" t="e" cm="1">
        <f t="array" ref="D426">_xlfn.IFS(AND(InvestorTable[[#This Row],[Investor Tally '#]] = 'Payment Tracker'!$A426, 'Payment Tracker'!$C426="Dividend") = TRUE, InvestorTable[[#This Row],[Monthly ROI (₦)]], AND(InvestorTable[[#This Row],[Investor Tally '#]] = 'Payment Tracker'!$A426, 'Payment Tracker'!$C426="Capital") = TRUE, InvestorTable[[#This Row],[Investment Capital (₦)]], AND(InvestorTable[[#This Row],[Investor Tally '#]] = 'Payment Tracker'!$A426, 'Payment Tracker'!$C426="Refund") = TRUE, InvestorTable[[#This Row],[Investment Capital (₦)]] )</f>
        <v>#N/A</v>
      </c>
      <c r="E426" s="15"/>
      <c r="F426" s="14"/>
      <c r="G426" s="14"/>
      <c r="H426" s="14"/>
    </row>
    <row r="427" spans="1:8" x14ac:dyDescent="0.3">
      <c r="A427" s="13"/>
      <c r="B427" s="16">
        <f>IF($A427=InvestorTable[[#This Row],[Investor Tally '#]],InvestorTable[[#This Row],[Investor Name]], NA())</f>
        <v>0</v>
      </c>
      <c r="C427" s="14"/>
      <c r="D427" s="17" t="e" cm="1">
        <f t="array" ref="D427">_xlfn.IFS(AND(InvestorTable[[#This Row],[Investor Tally '#]] = 'Payment Tracker'!$A427, 'Payment Tracker'!$C427="Dividend") = TRUE, InvestorTable[[#This Row],[Monthly ROI (₦)]], AND(InvestorTable[[#This Row],[Investor Tally '#]] = 'Payment Tracker'!$A427, 'Payment Tracker'!$C427="Capital") = TRUE, InvestorTable[[#This Row],[Investment Capital (₦)]], AND(InvestorTable[[#This Row],[Investor Tally '#]] = 'Payment Tracker'!$A427, 'Payment Tracker'!$C427="Refund") = TRUE, InvestorTable[[#This Row],[Investment Capital (₦)]] )</f>
        <v>#N/A</v>
      </c>
      <c r="E427" s="15"/>
      <c r="F427" s="14"/>
      <c r="G427" s="14"/>
      <c r="H427" s="14"/>
    </row>
    <row r="428" spans="1:8" x14ac:dyDescent="0.3">
      <c r="A428" s="13"/>
      <c r="B428" s="16">
        <f>IF($A428=InvestorTable[[#This Row],[Investor Tally '#]],InvestorTable[[#This Row],[Investor Name]], NA())</f>
        <v>0</v>
      </c>
      <c r="C428" s="14"/>
      <c r="D428" s="17" t="e" cm="1">
        <f t="array" ref="D428">_xlfn.IFS(AND(InvestorTable[[#This Row],[Investor Tally '#]] = 'Payment Tracker'!$A428, 'Payment Tracker'!$C428="Dividend") = TRUE, InvestorTable[[#This Row],[Monthly ROI (₦)]], AND(InvestorTable[[#This Row],[Investor Tally '#]] = 'Payment Tracker'!$A428, 'Payment Tracker'!$C428="Capital") = TRUE, InvestorTable[[#This Row],[Investment Capital (₦)]], AND(InvestorTable[[#This Row],[Investor Tally '#]] = 'Payment Tracker'!$A428, 'Payment Tracker'!$C428="Refund") = TRUE, InvestorTable[[#This Row],[Investment Capital (₦)]] )</f>
        <v>#N/A</v>
      </c>
      <c r="E428" s="15"/>
      <c r="F428" s="14"/>
      <c r="G428" s="14"/>
      <c r="H428" s="14"/>
    </row>
    <row r="429" spans="1:8" x14ac:dyDescent="0.3">
      <c r="A429" s="13"/>
      <c r="B429" s="16">
        <f>IF($A429=InvestorTable[[#This Row],[Investor Tally '#]],InvestorTable[[#This Row],[Investor Name]], NA())</f>
        <v>0</v>
      </c>
      <c r="C429" s="14"/>
      <c r="D429" s="17" t="e" cm="1">
        <f t="array" ref="D429">_xlfn.IFS(AND(InvestorTable[[#This Row],[Investor Tally '#]] = 'Payment Tracker'!$A429, 'Payment Tracker'!$C429="Dividend") = TRUE, InvestorTable[[#This Row],[Monthly ROI (₦)]], AND(InvestorTable[[#This Row],[Investor Tally '#]] = 'Payment Tracker'!$A429, 'Payment Tracker'!$C429="Capital") = TRUE, InvestorTable[[#This Row],[Investment Capital (₦)]], AND(InvestorTable[[#This Row],[Investor Tally '#]] = 'Payment Tracker'!$A429, 'Payment Tracker'!$C429="Refund") = TRUE, InvestorTable[[#This Row],[Investment Capital (₦)]] )</f>
        <v>#N/A</v>
      </c>
      <c r="E429" s="15"/>
      <c r="F429" s="14"/>
      <c r="G429" s="14"/>
      <c r="H429" s="14"/>
    </row>
    <row r="430" spans="1:8" x14ac:dyDescent="0.3">
      <c r="A430" s="13"/>
      <c r="B430" s="16">
        <f>IF($A430=InvestorTable[[#This Row],[Investor Tally '#]],InvestorTable[[#This Row],[Investor Name]], NA())</f>
        <v>0</v>
      </c>
      <c r="C430" s="14"/>
      <c r="D430" s="17" t="e" cm="1">
        <f t="array" ref="D430">_xlfn.IFS(AND(InvestorTable[[#This Row],[Investor Tally '#]] = 'Payment Tracker'!$A430, 'Payment Tracker'!$C430="Dividend") = TRUE, InvestorTable[[#This Row],[Monthly ROI (₦)]], AND(InvestorTable[[#This Row],[Investor Tally '#]] = 'Payment Tracker'!$A430, 'Payment Tracker'!$C430="Capital") = TRUE, InvestorTable[[#This Row],[Investment Capital (₦)]], AND(InvestorTable[[#This Row],[Investor Tally '#]] = 'Payment Tracker'!$A430, 'Payment Tracker'!$C430="Refund") = TRUE, InvestorTable[[#This Row],[Investment Capital (₦)]] )</f>
        <v>#N/A</v>
      </c>
      <c r="E430" s="15"/>
      <c r="F430" s="14"/>
      <c r="G430" s="14"/>
      <c r="H430" s="14"/>
    </row>
    <row r="431" spans="1:8" x14ac:dyDescent="0.3">
      <c r="A431" s="13"/>
      <c r="B431" s="16">
        <f>IF($A431=InvestorTable[[#This Row],[Investor Tally '#]],InvestorTable[[#This Row],[Investor Name]], NA())</f>
        <v>0</v>
      </c>
      <c r="C431" s="14"/>
      <c r="D431" s="17" t="e" cm="1">
        <f t="array" ref="D431">_xlfn.IFS(AND(InvestorTable[[#This Row],[Investor Tally '#]] = 'Payment Tracker'!$A431, 'Payment Tracker'!$C431="Dividend") = TRUE, InvestorTable[[#This Row],[Monthly ROI (₦)]], AND(InvestorTable[[#This Row],[Investor Tally '#]] = 'Payment Tracker'!$A431, 'Payment Tracker'!$C431="Capital") = TRUE, InvestorTable[[#This Row],[Investment Capital (₦)]], AND(InvestorTable[[#This Row],[Investor Tally '#]] = 'Payment Tracker'!$A431, 'Payment Tracker'!$C431="Refund") = TRUE, InvestorTable[[#This Row],[Investment Capital (₦)]] )</f>
        <v>#N/A</v>
      </c>
      <c r="E431" s="15"/>
      <c r="F431" s="14"/>
      <c r="G431" s="14"/>
      <c r="H431" s="14"/>
    </row>
    <row r="432" spans="1:8" x14ac:dyDescent="0.3">
      <c r="A432" s="13"/>
      <c r="B432" s="16">
        <f>IF($A432=InvestorTable[[#This Row],[Investor Tally '#]],InvestorTable[[#This Row],[Investor Name]], NA())</f>
        <v>0</v>
      </c>
      <c r="C432" s="14"/>
      <c r="D432" s="17" t="e" cm="1">
        <f t="array" ref="D432">_xlfn.IFS(AND(InvestorTable[[#This Row],[Investor Tally '#]] = 'Payment Tracker'!$A432, 'Payment Tracker'!$C432="Dividend") = TRUE, InvestorTable[[#This Row],[Monthly ROI (₦)]], AND(InvestorTable[[#This Row],[Investor Tally '#]] = 'Payment Tracker'!$A432, 'Payment Tracker'!$C432="Capital") = TRUE, InvestorTable[[#This Row],[Investment Capital (₦)]], AND(InvestorTable[[#This Row],[Investor Tally '#]] = 'Payment Tracker'!$A432, 'Payment Tracker'!$C432="Refund") = TRUE, InvestorTable[[#This Row],[Investment Capital (₦)]] )</f>
        <v>#N/A</v>
      </c>
      <c r="E432" s="15"/>
      <c r="F432" s="14"/>
      <c r="G432" s="14"/>
      <c r="H432" s="14"/>
    </row>
    <row r="433" spans="1:8" x14ac:dyDescent="0.3">
      <c r="A433" s="13"/>
      <c r="B433" s="16">
        <f>IF($A433=InvestorTable[[#This Row],[Investor Tally '#]],InvestorTable[[#This Row],[Investor Name]], NA())</f>
        <v>0</v>
      </c>
      <c r="C433" s="14"/>
      <c r="D433" s="17" t="e" cm="1">
        <f t="array" ref="D433">_xlfn.IFS(AND(InvestorTable[[#This Row],[Investor Tally '#]] = 'Payment Tracker'!$A433, 'Payment Tracker'!$C433="Dividend") = TRUE, InvestorTable[[#This Row],[Monthly ROI (₦)]], AND(InvestorTable[[#This Row],[Investor Tally '#]] = 'Payment Tracker'!$A433, 'Payment Tracker'!$C433="Capital") = TRUE, InvestorTable[[#This Row],[Investment Capital (₦)]], AND(InvestorTable[[#This Row],[Investor Tally '#]] = 'Payment Tracker'!$A433, 'Payment Tracker'!$C433="Refund") = TRUE, InvestorTable[[#This Row],[Investment Capital (₦)]] )</f>
        <v>#N/A</v>
      </c>
      <c r="E433" s="15"/>
      <c r="F433" s="14"/>
      <c r="G433" s="14"/>
      <c r="H433" s="14"/>
    </row>
    <row r="434" spans="1:8" x14ac:dyDescent="0.3">
      <c r="A434" s="13"/>
      <c r="B434" s="16">
        <f>IF($A434=InvestorTable[[#This Row],[Investor Tally '#]],InvestorTable[[#This Row],[Investor Name]], NA())</f>
        <v>0</v>
      </c>
      <c r="C434" s="14"/>
      <c r="D434" s="17" t="e" cm="1">
        <f t="array" ref="D434">_xlfn.IFS(AND(InvestorTable[[#This Row],[Investor Tally '#]] = 'Payment Tracker'!$A434, 'Payment Tracker'!$C434="Dividend") = TRUE, InvestorTable[[#This Row],[Monthly ROI (₦)]], AND(InvestorTable[[#This Row],[Investor Tally '#]] = 'Payment Tracker'!$A434, 'Payment Tracker'!$C434="Capital") = TRUE, InvestorTable[[#This Row],[Investment Capital (₦)]], AND(InvestorTable[[#This Row],[Investor Tally '#]] = 'Payment Tracker'!$A434, 'Payment Tracker'!$C434="Refund") = TRUE, InvestorTable[[#This Row],[Investment Capital (₦)]] )</f>
        <v>#N/A</v>
      </c>
      <c r="E434" s="15"/>
      <c r="F434" s="14"/>
      <c r="G434" s="14"/>
      <c r="H434" s="14"/>
    </row>
    <row r="435" spans="1:8" x14ac:dyDescent="0.3">
      <c r="A435" s="13"/>
      <c r="B435" s="16">
        <f>IF($A435=InvestorTable[[#This Row],[Investor Tally '#]],InvestorTable[[#This Row],[Investor Name]], NA())</f>
        <v>0</v>
      </c>
      <c r="C435" s="14"/>
      <c r="D435" s="17" t="e" cm="1">
        <f t="array" ref="D435">_xlfn.IFS(AND(InvestorTable[[#This Row],[Investor Tally '#]] = 'Payment Tracker'!$A435, 'Payment Tracker'!$C435="Dividend") = TRUE, InvestorTable[[#This Row],[Monthly ROI (₦)]], AND(InvestorTable[[#This Row],[Investor Tally '#]] = 'Payment Tracker'!$A435, 'Payment Tracker'!$C435="Capital") = TRUE, InvestorTable[[#This Row],[Investment Capital (₦)]], AND(InvestorTable[[#This Row],[Investor Tally '#]] = 'Payment Tracker'!$A435, 'Payment Tracker'!$C435="Refund") = TRUE, InvestorTable[[#This Row],[Investment Capital (₦)]] )</f>
        <v>#N/A</v>
      </c>
      <c r="E435" s="15"/>
      <c r="F435" s="14"/>
      <c r="G435" s="14"/>
      <c r="H435" s="14"/>
    </row>
    <row r="436" spans="1:8" x14ac:dyDescent="0.3">
      <c r="A436" s="13"/>
      <c r="B436" s="16">
        <f>IF($A436=InvestorTable[[#This Row],[Investor Tally '#]],InvestorTable[[#This Row],[Investor Name]], NA())</f>
        <v>0</v>
      </c>
      <c r="C436" s="14"/>
      <c r="D436" s="17" t="e" cm="1">
        <f t="array" ref="D436">_xlfn.IFS(AND(InvestorTable[[#This Row],[Investor Tally '#]] = 'Payment Tracker'!$A436, 'Payment Tracker'!$C436="Dividend") = TRUE, InvestorTable[[#This Row],[Monthly ROI (₦)]], AND(InvestorTable[[#This Row],[Investor Tally '#]] = 'Payment Tracker'!$A436, 'Payment Tracker'!$C436="Capital") = TRUE, InvestorTable[[#This Row],[Investment Capital (₦)]], AND(InvestorTable[[#This Row],[Investor Tally '#]] = 'Payment Tracker'!$A436, 'Payment Tracker'!$C436="Refund") = TRUE, InvestorTable[[#This Row],[Investment Capital (₦)]] )</f>
        <v>#N/A</v>
      </c>
      <c r="E436" s="15"/>
      <c r="F436" s="14"/>
      <c r="G436" s="14"/>
      <c r="H436" s="14"/>
    </row>
    <row r="437" spans="1:8" x14ac:dyDescent="0.3">
      <c r="A437" s="13"/>
      <c r="B437" s="16">
        <f>IF($A437=InvestorTable[[#This Row],[Investor Tally '#]],InvestorTable[[#This Row],[Investor Name]], NA())</f>
        <v>0</v>
      </c>
      <c r="C437" s="14"/>
      <c r="D437" s="17" t="e" cm="1">
        <f t="array" ref="D437">_xlfn.IFS(AND(InvestorTable[[#This Row],[Investor Tally '#]] = 'Payment Tracker'!$A437, 'Payment Tracker'!$C437="Dividend") = TRUE, InvestorTable[[#This Row],[Monthly ROI (₦)]], AND(InvestorTable[[#This Row],[Investor Tally '#]] = 'Payment Tracker'!$A437, 'Payment Tracker'!$C437="Capital") = TRUE, InvestorTable[[#This Row],[Investment Capital (₦)]], AND(InvestorTable[[#This Row],[Investor Tally '#]] = 'Payment Tracker'!$A437, 'Payment Tracker'!$C437="Refund") = TRUE, InvestorTable[[#This Row],[Investment Capital (₦)]] )</f>
        <v>#N/A</v>
      </c>
      <c r="E437" s="15"/>
      <c r="F437" s="14"/>
      <c r="G437" s="14"/>
      <c r="H437" s="14"/>
    </row>
    <row r="438" spans="1:8" x14ac:dyDescent="0.3">
      <c r="A438" s="13"/>
      <c r="B438" s="16">
        <f>IF($A438=InvestorTable[[#This Row],[Investor Tally '#]],InvestorTable[[#This Row],[Investor Name]], NA())</f>
        <v>0</v>
      </c>
      <c r="C438" s="14"/>
      <c r="D438" s="17" t="e" cm="1">
        <f t="array" ref="D438">_xlfn.IFS(AND(InvestorTable[[#This Row],[Investor Tally '#]] = 'Payment Tracker'!$A438, 'Payment Tracker'!$C438="Dividend") = TRUE, InvestorTable[[#This Row],[Monthly ROI (₦)]], AND(InvestorTable[[#This Row],[Investor Tally '#]] = 'Payment Tracker'!$A438, 'Payment Tracker'!$C438="Capital") = TRUE, InvestorTable[[#This Row],[Investment Capital (₦)]], AND(InvestorTable[[#This Row],[Investor Tally '#]] = 'Payment Tracker'!$A438, 'Payment Tracker'!$C438="Refund") = TRUE, InvestorTable[[#This Row],[Investment Capital (₦)]] )</f>
        <v>#N/A</v>
      </c>
      <c r="E438" s="15"/>
      <c r="F438" s="14"/>
      <c r="G438" s="14"/>
      <c r="H438" s="14"/>
    </row>
    <row r="439" spans="1:8" x14ac:dyDescent="0.3">
      <c r="A439" s="13"/>
      <c r="B439" s="16">
        <f>IF($A439=InvestorTable[[#This Row],[Investor Tally '#]],InvestorTable[[#This Row],[Investor Name]], NA())</f>
        <v>0</v>
      </c>
      <c r="C439" s="14"/>
      <c r="D439" s="17" t="e" cm="1">
        <f t="array" ref="D439">_xlfn.IFS(AND(InvestorTable[[#This Row],[Investor Tally '#]] = 'Payment Tracker'!$A439, 'Payment Tracker'!$C439="Dividend") = TRUE, InvestorTable[[#This Row],[Monthly ROI (₦)]], AND(InvestorTable[[#This Row],[Investor Tally '#]] = 'Payment Tracker'!$A439, 'Payment Tracker'!$C439="Capital") = TRUE, InvestorTable[[#This Row],[Investment Capital (₦)]], AND(InvestorTable[[#This Row],[Investor Tally '#]] = 'Payment Tracker'!$A439, 'Payment Tracker'!$C439="Refund") = TRUE, InvestorTable[[#This Row],[Investment Capital (₦)]] )</f>
        <v>#N/A</v>
      </c>
      <c r="E439" s="15"/>
      <c r="F439" s="14"/>
      <c r="G439" s="14"/>
      <c r="H439" s="14"/>
    </row>
    <row r="440" spans="1:8" x14ac:dyDescent="0.3">
      <c r="A440" s="13"/>
      <c r="B440" s="16">
        <f>IF($A440=InvestorTable[[#This Row],[Investor Tally '#]],InvestorTable[[#This Row],[Investor Name]], NA())</f>
        <v>0</v>
      </c>
      <c r="C440" s="14"/>
      <c r="D440" s="17" t="e" cm="1">
        <f t="array" ref="D440">_xlfn.IFS(AND(InvestorTable[[#This Row],[Investor Tally '#]] = 'Payment Tracker'!$A440, 'Payment Tracker'!$C440="Dividend") = TRUE, InvestorTable[[#This Row],[Monthly ROI (₦)]], AND(InvestorTable[[#This Row],[Investor Tally '#]] = 'Payment Tracker'!$A440, 'Payment Tracker'!$C440="Capital") = TRUE, InvestorTable[[#This Row],[Investment Capital (₦)]], AND(InvestorTable[[#This Row],[Investor Tally '#]] = 'Payment Tracker'!$A440, 'Payment Tracker'!$C440="Refund") = TRUE, InvestorTable[[#This Row],[Investment Capital (₦)]] )</f>
        <v>#N/A</v>
      </c>
      <c r="E440" s="15"/>
      <c r="F440" s="14"/>
      <c r="G440" s="14"/>
      <c r="H440" s="14"/>
    </row>
    <row r="441" spans="1:8" x14ac:dyDescent="0.3">
      <c r="A441" s="13"/>
      <c r="B441" s="16">
        <f>IF($A441=InvestorTable[[#This Row],[Investor Tally '#]],InvestorTable[[#This Row],[Investor Name]], NA())</f>
        <v>0</v>
      </c>
      <c r="C441" s="14"/>
      <c r="D441" s="17" t="e" cm="1">
        <f t="array" ref="D441">_xlfn.IFS(AND(InvestorTable[[#This Row],[Investor Tally '#]] = 'Payment Tracker'!$A441, 'Payment Tracker'!$C441="Dividend") = TRUE, InvestorTable[[#This Row],[Monthly ROI (₦)]], AND(InvestorTable[[#This Row],[Investor Tally '#]] = 'Payment Tracker'!$A441, 'Payment Tracker'!$C441="Capital") = TRUE, InvestorTable[[#This Row],[Investment Capital (₦)]], AND(InvestorTable[[#This Row],[Investor Tally '#]] = 'Payment Tracker'!$A441, 'Payment Tracker'!$C441="Refund") = TRUE, InvestorTable[[#This Row],[Investment Capital (₦)]] )</f>
        <v>#N/A</v>
      </c>
      <c r="E441" s="15"/>
      <c r="F441" s="14"/>
      <c r="G441" s="14"/>
      <c r="H441" s="14"/>
    </row>
    <row r="442" spans="1:8" x14ac:dyDescent="0.3">
      <c r="A442" s="13"/>
      <c r="B442" s="16">
        <f>IF($A442=InvestorTable[[#This Row],[Investor Tally '#]],InvestorTable[[#This Row],[Investor Name]], NA())</f>
        <v>0</v>
      </c>
      <c r="C442" s="14"/>
      <c r="D442" s="17" t="e" cm="1">
        <f t="array" ref="D442">_xlfn.IFS(AND(InvestorTable[[#This Row],[Investor Tally '#]] = 'Payment Tracker'!$A442, 'Payment Tracker'!$C442="Dividend") = TRUE, InvestorTable[[#This Row],[Monthly ROI (₦)]], AND(InvestorTable[[#This Row],[Investor Tally '#]] = 'Payment Tracker'!$A442, 'Payment Tracker'!$C442="Capital") = TRUE, InvestorTable[[#This Row],[Investment Capital (₦)]], AND(InvestorTable[[#This Row],[Investor Tally '#]] = 'Payment Tracker'!$A442, 'Payment Tracker'!$C442="Refund") = TRUE, InvestorTable[[#This Row],[Investment Capital (₦)]] )</f>
        <v>#N/A</v>
      </c>
      <c r="E442" s="15"/>
      <c r="F442" s="14"/>
      <c r="G442" s="14"/>
      <c r="H442" s="14"/>
    </row>
    <row r="443" spans="1:8" x14ac:dyDescent="0.3">
      <c r="A443" s="13"/>
      <c r="B443" s="16">
        <f>IF($A443=InvestorTable[[#This Row],[Investor Tally '#]],InvestorTable[[#This Row],[Investor Name]], NA())</f>
        <v>0</v>
      </c>
      <c r="C443" s="14"/>
      <c r="D443" s="17" t="e" cm="1">
        <f t="array" ref="D443">_xlfn.IFS(AND(InvestorTable[[#This Row],[Investor Tally '#]] = 'Payment Tracker'!$A443, 'Payment Tracker'!$C443="Dividend") = TRUE, InvestorTable[[#This Row],[Monthly ROI (₦)]], AND(InvestorTable[[#This Row],[Investor Tally '#]] = 'Payment Tracker'!$A443, 'Payment Tracker'!$C443="Capital") = TRUE, InvestorTable[[#This Row],[Investment Capital (₦)]], AND(InvestorTable[[#This Row],[Investor Tally '#]] = 'Payment Tracker'!$A443, 'Payment Tracker'!$C443="Refund") = TRUE, InvestorTable[[#This Row],[Investment Capital (₦)]] )</f>
        <v>#N/A</v>
      </c>
      <c r="E443" s="15"/>
      <c r="F443" s="14"/>
      <c r="G443" s="14"/>
      <c r="H443" s="14"/>
    </row>
    <row r="444" spans="1:8" x14ac:dyDescent="0.3">
      <c r="A444" s="13"/>
      <c r="B444" s="16">
        <f>IF($A444=InvestorTable[[#This Row],[Investor Tally '#]],InvestorTable[[#This Row],[Investor Name]], NA())</f>
        <v>0</v>
      </c>
      <c r="C444" s="14"/>
      <c r="D444" s="17" t="e" cm="1">
        <f t="array" ref="D444">_xlfn.IFS(AND(InvestorTable[[#This Row],[Investor Tally '#]] = 'Payment Tracker'!$A444, 'Payment Tracker'!$C444="Dividend") = TRUE, InvestorTable[[#This Row],[Monthly ROI (₦)]], AND(InvestorTable[[#This Row],[Investor Tally '#]] = 'Payment Tracker'!$A444, 'Payment Tracker'!$C444="Capital") = TRUE, InvestorTable[[#This Row],[Investment Capital (₦)]], AND(InvestorTable[[#This Row],[Investor Tally '#]] = 'Payment Tracker'!$A444, 'Payment Tracker'!$C444="Refund") = TRUE, InvestorTable[[#This Row],[Investment Capital (₦)]] )</f>
        <v>#N/A</v>
      </c>
      <c r="E444" s="15"/>
      <c r="F444" s="14"/>
      <c r="G444" s="14"/>
      <c r="H444" s="14"/>
    </row>
    <row r="445" spans="1:8" x14ac:dyDescent="0.3">
      <c r="A445" s="13"/>
      <c r="B445" s="16">
        <f>IF($A445=InvestorTable[[#This Row],[Investor Tally '#]],InvestorTable[[#This Row],[Investor Name]], NA())</f>
        <v>0</v>
      </c>
      <c r="C445" s="14"/>
      <c r="D445" s="17" t="e" cm="1">
        <f t="array" ref="D445">_xlfn.IFS(AND(InvestorTable[[#This Row],[Investor Tally '#]] = 'Payment Tracker'!$A445, 'Payment Tracker'!$C445="Dividend") = TRUE, InvestorTable[[#This Row],[Monthly ROI (₦)]], AND(InvestorTable[[#This Row],[Investor Tally '#]] = 'Payment Tracker'!$A445, 'Payment Tracker'!$C445="Capital") = TRUE, InvestorTable[[#This Row],[Investment Capital (₦)]], AND(InvestorTable[[#This Row],[Investor Tally '#]] = 'Payment Tracker'!$A445, 'Payment Tracker'!$C445="Refund") = TRUE, InvestorTable[[#This Row],[Investment Capital (₦)]] )</f>
        <v>#N/A</v>
      </c>
      <c r="E445" s="15"/>
      <c r="F445" s="14"/>
      <c r="G445" s="14"/>
      <c r="H445" s="14"/>
    </row>
    <row r="446" spans="1:8" x14ac:dyDescent="0.3">
      <c r="A446" s="13"/>
      <c r="B446" s="16">
        <f>IF($A446=InvestorTable[[#This Row],[Investor Tally '#]],InvestorTable[[#This Row],[Investor Name]], NA())</f>
        <v>0</v>
      </c>
      <c r="C446" s="14"/>
      <c r="D446" s="17" t="e" cm="1">
        <f t="array" ref="D446">_xlfn.IFS(AND(InvestorTable[[#This Row],[Investor Tally '#]] = 'Payment Tracker'!$A446, 'Payment Tracker'!$C446="Dividend") = TRUE, InvestorTable[[#This Row],[Monthly ROI (₦)]], AND(InvestorTable[[#This Row],[Investor Tally '#]] = 'Payment Tracker'!$A446, 'Payment Tracker'!$C446="Capital") = TRUE, InvestorTable[[#This Row],[Investment Capital (₦)]], AND(InvestorTable[[#This Row],[Investor Tally '#]] = 'Payment Tracker'!$A446, 'Payment Tracker'!$C446="Refund") = TRUE, InvestorTable[[#This Row],[Investment Capital (₦)]] )</f>
        <v>#N/A</v>
      </c>
      <c r="E446" s="15"/>
      <c r="F446" s="14"/>
      <c r="G446" s="14"/>
      <c r="H446" s="14"/>
    </row>
    <row r="447" spans="1:8" x14ac:dyDescent="0.3">
      <c r="A447" s="13"/>
      <c r="B447" s="16">
        <f>IF($A447=InvestorTable[[#This Row],[Investor Tally '#]],InvestorTable[[#This Row],[Investor Name]], NA())</f>
        <v>0</v>
      </c>
      <c r="C447" s="14"/>
      <c r="D447" s="17" t="e" cm="1">
        <f t="array" ref="D447">_xlfn.IFS(AND(InvestorTable[[#This Row],[Investor Tally '#]] = 'Payment Tracker'!$A447, 'Payment Tracker'!$C447="Dividend") = TRUE, InvestorTable[[#This Row],[Monthly ROI (₦)]], AND(InvestorTable[[#This Row],[Investor Tally '#]] = 'Payment Tracker'!$A447, 'Payment Tracker'!$C447="Capital") = TRUE, InvestorTable[[#This Row],[Investment Capital (₦)]], AND(InvestorTable[[#This Row],[Investor Tally '#]] = 'Payment Tracker'!$A447, 'Payment Tracker'!$C447="Refund") = TRUE, InvestorTable[[#This Row],[Investment Capital (₦)]] )</f>
        <v>#N/A</v>
      </c>
      <c r="E447" s="15"/>
      <c r="F447" s="14"/>
      <c r="G447" s="14"/>
      <c r="H447" s="14"/>
    </row>
    <row r="448" spans="1:8" x14ac:dyDescent="0.3">
      <c r="A448" s="13"/>
      <c r="B448" s="16">
        <f>IF($A448=InvestorTable[[#This Row],[Investor Tally '#]],InvestorTable[[#This Row],[Investor Name]], NA())</f>
        <v>0</v>
      </c>
      <c r="C448" s="14"/>
      <c r="D448" s="17" t="e" cm="1">
        <f t="array" ref="D448">_xlfn.IFS(AND(InvestorTable[[#This Row],[Investor Tally '#]] = 'Payment Tracker'!$A448, 'Payment Tracker'!$C448="Dividend") = TRUE, InvestorTable[[#This Row],[Monthly ROI (₦)]], AND(InvestorTable[[#This Row],[Investor Tally '#]] = 'Payment Tracker'!$A448, 'Payment Tracker'!$C448="Capital") = TRUE, InvestorTable[[#This Row],[Investment Capital (₦)]], AND(InvestorTable[[#This Row],[Investor Tally '#]] = 'Payment Tracker'!$A448, 'Payment Tracker'!$C448="Refund") = TRUE, InvestorTable[[#This Row],[Investment Capital (₦)]] )</f>
        <v>#N/A</v>
      </c>
      <c r="E448" s="15"/>
      <c r="F448" s="14"/>
      <c r="G448" s="14"/>
      <c r="H448" s="14"/>
    </row>
    <row r="449" spans="1:8" x14ac:dyDescent="0.3">
      <c r="A449" s="13"/>
      <c r="B449" s="16">
        <f>IF($A449=InvestorTable[[#This Row],[Investor Tally '#]],InvestorTable[[#This Row],[Investor Name]], NA())</f>
        <v>0</v>
      </c>
      <c r="C449" s="14"/>
      <c r="D449" s="17" t="e" cm="1">
        <f t="array" ref="D449">_xlfn.IFS(AND(InvestorTable[[#This Row],[Investor Tally '#]] = 'Payment Tracker'!$A449, 'Payment Tracker'!$C449="Dividend") = TRUE, InvestorTable[[#This Row],[Monthly ROI (₦)]], AND(InvestorTable[[#This Row],[Investor Tally '#]] = 'Payment Tracker'!$A449, 'Payment Tracker'!$C449="Capital") = TRUE, InvestorTable[[#This Row],[Investment Capital (₦)]], AND(InvestorTable[[#This Row],[Investor Tally '#]] = 'Payment Tracker'!$A449, 'Payment Tracker'!$C449="Refund") = TRUE, InvestorTable[[#This Row],[Investment Capital (₦)]] )</f>
        <v>#N/A</v>
      </c>
      <c r="E449" s="15"/>
      <c r="F449" s="14"/>
      <c r="G449" s="14"/>
      <c r="H449" s="14"/>
    </row>
    <row r="450" spans="1:8" x14ac:dyDescent="0.3">
      <c r="A450" s="13"/>
      <c r="B450" s="16">
        <f>IF($A450=InvestorTable[[#This Row],[Investor Tally '#]],InvestorTable[[#This Row],[Investor Name]], NA())</f>
        <v>0</v>
      </c>
      <c r="C450" s="14"/>
      <c r="D450" s="17" t="e" cm="1">
        <f t="array" ref="D450">_xlfn.IFS(AND(InvestorTable[[#This Row],[Investor Tally '#]] = 'Payment Tracker'!$A450, 'Payment Tracker'!$C450="Dividend") = TRUE, InvestorTable[[#This Row],[Monthly ROI (₦)]], AND(InvestorTable[[#This Row],[Investor Tally '#]] = 'Payment Tracker'!$A450, 'Payment Tracker'!$C450="Capital") = TRUE, InvestorTable[[#This Row],[Investment Capital (₦)]], AND(InvestorTable[[#This Row],[Investor Tally '#]] = 'Payment Tracker'!$A450, 'Payment Tracker'!$C450="Refund") = TRUE, InvestorTable[[#This Row],[Investment Capital (₦)]] )</f>
        <v>#N/A</v>
      </c>
      <c r="E450" s="15"/>
      <c r="F450" s="14"/>
      <c r="G450" s="14"/>
      <c r="H450" s="14"/>
    </row>
    <row r="451" spans="1:8" x14ac:dyDescent="0.3">
      <c r="A451" s="13"/>
      <c r="B451" s="16">
        <f>IF($A451=InvestorTable[[#This Row],[Investor Tally '#]],InvestorTable[[#This Row],[Investor Name]], NA())</f>
        <v>0</v>
      </c>
      <c r="C451" s="14"/>
      <c r="D451" s="17" t="e" cm="1">
        <f t="array" ref="D451">_xlfn.IFS(AND(InvestorTable[[#This Row],[Investor Tally '#]] = 'Payment Tracker'!$A451, 'Payment Tracker'!$C451="Dividend") = TRUE, InvestorTable[[#This Row],[Monthly ROI (₦)]], AND(InvestorTable[[#This Row],[Investor Tally '#]] = 'Payment Tracker'!$A451, 'Payment Tracker'!$C451="Capital") = TRUE, InvestorTable[[#This Row],[Investment Capital (₦)]], AND(InvestorTable[[#This Row],[Investor Tally '#]] = 'Payment Tracker'!$A451, 'Payment Tracker'!$C451="Refund") = TRUE, InvestorTable[[#This Row],[Investment Capital (₦)]] )</f>
        <v>#N/A</v>
      </c>
      <c r="E451" s="15"/>
      <c r="F451" s="14"/>
      <c r="G451" s="14"/>
      <c r="H451" s="14"/>
    </row>
    <row r="452" spans="1:8" x14ac:dyDescent="0.3">
      <c r="A452" s="13"/>
      <c r="B452" s="16">
        <f>IF($A452=InvestorTable[[#This Row],[Investor Tally '#]],InvestorTable[[#This Row],[Investor Name]], NA())</f>
        <v>0</v>
      </c>
      <c r="C452" s="14"/>
      <c r="D452" s="17" t="e" cm="1">
        <f t="array" ref="D452">_xlfn.IFS(AND(InvestorTable[[#This Row],[Investor Tally '#]] = 'Payment Tracker'!$A452, 'Payment Tracker'!$C452="Dividend") = TRUE, InvestorTable[[#This Row],[Monthly ROI (₦)]], AND(InvestorTable[[#This Row],[Investor Tally '#]] = 'Payment Tracker'!$A452, 'Payment Tracker'!$C452="Capital") = TRUE, InvestorTable[[#This Row],[Investment Capital (₦)]], AND(InvestorTable[[#This Row],[Investor Tally '#]] = 'Payment Tracker'!$A452, 'Payment Tracker'!$C452="Refund") = TRUE, InvestorTable[[#This Row],[Investment Capital (₦)]] )</f>
        <v>#N/A</v>
      </c>
      <c r="E452" s="15"/>
      <c r="F452" s="14"/>
      <c r="G452" s="14"/>
      <c r="H452" s="14"/>
    </row>
    <row r="453" spans="1:8" x14ac:dyDescent="0.3">
      <c r="A453" s="13"/>
      <c r="B453" s="16">
        <f>IF($A453=InvestorTable[[#This Row],[Investor Tally '#]],InvestorTable[[#This Row],[Investor Name]], NA())</f>
        <v>0</v>
      </c>
      <c r="C453" s="14"/>
      <c r="D453" s="17" t="e" cm="1">
        <f t="array" ref="D453">_xlfn.IFS(AND(InvestorTable[[#This Row],[Investor Tally '#]] = 'Payment Tracker'!$A453, 'Payment Tracker'!$C453="Dividend") = TRUE, InvestorTable[[#This Row],[Monthly ROI (₦)]], AND(InvestorTable[[#This Row],[Investor Tally '#]] = 'Payment Tracker'!$A453, 'Payment Tracker'!$C453="Capital") = TRUE, InvestorTable[[#This Row],[Investment Capital (₦)]], AND(InvestorTable[[#This Row],[Investor Tally '#]] = 'Payment Tracker'!$A453, 'Payment Tracker'!$C453="Refund") = TRUE, InvestorTable[[#This Row],[Investment Capital (₦)]] )</f>
        <v>#N/A</v>
      </c>
      <c r="E453" s="15"/>
      <c r="F453" s="14"/>
      <c r="G453" s="14"/>
      <c r="H453" s="14"/>
    </row>
    <row r="454" spans="1:8" x14ac:dyDescent="0.3">
      <c r="A454" s="13"/>
      <c r="B454" s="16">
        <f>IF($A454=InvestorTable[[#This Row],[Investor Tally '#]],InvestorTable[[#This Row],[Investor Name]], NA())</f>
        <v>0</v>
      </c>
      <c r="C454" s="14"/>
      <c r="D454" s="17" t="e" cm="1">
        <f t="array" ref="D454">_xlfn.IFS(AND(InvestorTable[[#This Row],[Investor Tally '#]] = 'Payment Tracker'!$A454, 'Payment Tracker'!$C454="Dividend") = TRUE, InvestorTable[[#This Row],[Monthly ROI (₦)]], AND(InvestorTable[[#This Row],[Investor Tally '#]] = 'Payment Tracker'!$A454, 'Payment Tracker'!$C454="Capital") = TRUE, InvestorTable[[#This Row],[Investment Capital (₦)]], AND(InvestorTable[[#This Row],[Investor Tally '#]] = 'Payment Tracker'!$A454, 'Payment Tracker'!$C454="Refund") = TRUE, InvestorTable[[#This Row],[Investment Capital (₦)]] )</f>
        <v>#N/A</v>
      </c>
      <c r="E454" s="15"/>
      <c r="F454" s="14"/>
      <c r="G454" s="14"/>
      <c r="H454" s="14"/>
    </row>
    <row r="455" spans="1:8" x14ac:dyDescent="0.3">
      <c r="A455" s="13"/>
      <c r="B455" s="16">
        <f>IF($A455=InvestorTable[[#This Row],[Investor Tally '#]],InvestorTable[[#This Row],[Investor Name]], NA())</f>
        <v>0</v>
      </c>
      <c r="C455" s="14"/>
      <c r="D455" s="17" t="e" cm="1">
        <f t="array" ref="D455">_xlfn.IFS(AND(InvestorTable[[#This Row],[Investor Tally '#]] = 'Payment Tracker'!$A455, 'Payment Tracker'!$C455="Dividend") = TRUE, InvestorTable[[#This Row],[Monthly ROI (₦)]], AND(InvestorTable[[#This Row],[Investor Tally '#]] = 'Payment Tracker'!$A455, 'Payment Tracker'!$C455="Capital") = TRUE, InvestorTable[[#This Row],[Investment Capital (₦)]], AND(InvestorTable[[#This Row],[Investor Tally '#]] = 'Payment Tracker'!$A455, 'Payment Tracker'!$C455="Refund") = TRUE, InvestorTable[[#This Row],[Investment Capital (₦)]] )</f>
        <v>#N/A</v>
      </c>
      <c r="E455" s="15"/>
      <c r="F455" s="14"/>
      <c r="G455" s="14"/>
      <c r="H455" s="14"/>
    </row>
    <row r="456" spans="1:8" x14ac:dyDescent="0.3">
      <c r="A456" s="13"/>
      <c r="B456" s="16">
        <f>IF($A456=InvestorTable[[#This Row],[Investor Tally '#]],InvestorTable[[#This Row],[Investor Name]], NA())</f>
        <v>0</v>
      </c>
      <c r="C456" s="14"/>
      <c r="D456" s="17" t="e" cm="1">
        <f t="array" ref="D456">_xlfn.IFS(AND(InvestorTable[[#This Row],[Investor Tally '#]] = 'Payment Tracker'!$A456, 'Payment Tracker'!$C456="Dividend") = TRUE, InvestorTable[[#This Row],[Monthly ROI (₦)]], AND(InvestorTable[[#This Row],[Investor Tally '#]] = 'Payment Tracker'!$A456, 'Payment Tracker'!$C456="Capital") = TRUE, InvestorTable[[#This Row],[Investment Capital (₦)]], AND(InvestorTable[[#This Row],[Investor Tally '#]] = 'Payment Tracker'!$A456, 'Payment Tracker'!$C456="Refund") = TRUE, InvestorTable[[#This Row],[Investment Capital (₦)]] )</f>
        <v>#N/A</v>
      </c>
      <c r="E456" s="15"/>
      <c r="F456" s="14"/>
      <c r="G456" s="14"/>
      <c r="H456" s="14"/>
    </row>
    <row r="457" spans="1:8" x14ac:dyDescent="0.3">
      <c r="A457" s="13"/>
      <c r="B457" s="16">
        <f>IF($A457=InvestorTable[[#This Row],[Investor Tally '#]],InvestorTable[[#This Row],[Investor Name]], NA())</f>
        <v>0</v>
      </c>
      <c r="C457" s="14"/>
      <c r="D457" s="17" t="e" cm="1">
        <f t="array" ref="D457">_xlfn.IFS(AND(InvestorTable[[#This Row],[Investor Tally '#]] = 'Payment Tracker'!$A457, 'Payment Tracker'!$C457="Dividend") = TRUE, InvestorTable[[#This Row],[Monthly ROI (₦)]], AND(InvestorTable[[#This Row],[Investor Tally '#]] = 'Payment Tracker'!$A457, 'Payment Tracker'!$C457="Capital") = TRUE, InvestorTable[[#This Row],[Investment Capital (₦)]], AND(InvestorTable[[#This Row],[Investor Tally '#]] = 'Payment Tracker'!$A457, 'Payment Tracker'!$C457="Refund") = TRUE, InvestorTable[[#This Row],[Investment Capital (₦)]] )</f>
        <v>#N/A</v>
      </c>
      <c r="E457" s="15"/>
      <c r="F457" s="14"/>
      <c r="G457" s="14"/>
      <c r="H457" s="14"/>
    </row>
    <row r="458" spans="1:8" x14ac:dyDescent="0.3">
      <c r="A458" s="13"/>
      <c r="B458" s="16">
        <f>IF($A458=InvestorTable[[#This Row],[Investor Tally '#]],InvestorTable[[#This Row],[Investor Name]], NA())</f>
        <v>0</v>
      </c>
      <c r="C458" s="14"/>
      <c r="D458" s="17" t="e" cm="1">
        <f t="array" ref="D458">_xlfn.IFS(AND(InvestorTable[[#This Row],[Investor Tally '#]] = 'Payment Tracker'!$A458, 'Payment Tracker'!$C458="Dividend") = TRUE, InvestorTable[[#This Row],[Monthly ROI (₦)]], AND(InvestorTable[[#This Row],[Investor Tally '#]] = 'Payment Tracker'!$A458, 'Payment Tracker'!$C458="Capital") = TRUE, InvestorTable[[#This Row],[Investment Capital (₦)]], AND(InvestorTable[[#This Row],[Investor Tally '#]] = 'Payment Tracker'!$A458, 'Payment Tracker'!$C458="Refund") = TRUE, InvestorTable[[#This Row],[Investment Capital (₦)]] )</f>
        <v>#N/A</v>
      </c>
      <c r="E458" s="15"/>
      <c r="F458" s="14"/>
      <c r="G458" s="14"/>
      <c r="H458" s="14"/>
    </row>
    <row r="459" spans="1:8" x14ac:dyDescent="0.3">
      <c r="A459" s="13"/>
      <c r="B459" s="16">
        <f>IF($A459=InvestorTable[[#This Row],[Investor Tally '#]],InvestorTable[[#This Row],[Investor Name]], NA())</f>
        <v>0</v>
      </c>
      <c r="C459" s="14"/>
      <c r="D459" s="17" t="e" cm="1">
        <f t="array" ref="D459">_xlfn.IFS(AND(InvestorTable[[#This Row],[Investor Tally '#]] = 'Payment Tracker'!$A459, 'Payment Tracker'!$C459="Dividend") = TRUE, InvestorTable[[#This Row],[Monthly ROI (₦)]], AND(InvestorTable[[#This Row],[Investor Tally '#]] = 'Payment Tracker'!$A459, 'Payment Tracker'!$C459="Capital") = TRUE, InvestorTable[[#This Row],[Investment Capital (₦)]], AND(InvestorTable[[#This Row],[Investor Tally '#]] = 'Payment Tracker'!$A459, 'Payment Tracker'!$C459="Refund") = TRUE, InvestorTable[[#This Row],[Investment Capital (₦)]] )</f>
        <v>#N/A</v>
      </c>
      <c r="E459" s="15"/>
      <c r="F459" s="14"/>
      <c r="G459" s="14"/>
      <c r="H459" s="14"/>
    </row>
    <row r="460" spans="1:8" x14ac:dyDescent="0.3">
      <c r="A460" s="13"/>
      <c r="B460" s="16">
        <f>IF($A460=InvestorTable[[#This Row],[Investor Tally '#]],InvestorTable[[#This Row],[Investor Name]], NA())</f>
        <v>0</v>
      </c>
      <c r="C460" s="14"/>
      <c r="D460" s="17" t="e" cm="1">
        <f t="array" ref="D460">_xlfn.IFS(AND(InvestorTable[[#This Row],[Investor Tally '#]] = 'Payment Tracker'!$A460, 'Payment Tracker'!$C460="Dividend") = TRUE, InvestorTable[[#This Row],[Monthly ROI (₦)]], AND(InvestorTable[[#This Row],[Investor Tally '#]] = 'Payment Tracker'!$A460, 'Payment Tracker'!$C460="Capital") = TRUE, InvestorTable[[#This Row],[Investment Capital (₦)]], AND(InvestorTable[[#This Row],[Investor Tally '#]] = 'Payment Tracker'!$A460, 'Payment Tracker'!$C460="Refund") = TRUE, InvestorTable[[#This Row],[Investment Capital (₦)]] )</f>
        <v>#N/A</v>
      </c>
      <c r="E460" s="15"/>
      <c r="F460" s="14"/>
      <c r="G460" s="14"/>
      <c r="H460" s="14"/>
    </row>
    <row r="461" spans="1:8" x14ac:dyDescent="0.3">
      <c r="A461" s="13"/>
      <c r="B461" s="16">
        <f>IF($A461=InvestorTable[[#This Row],[Investor Tally '#]],InvestorTable[[#This Row],[Investor Name]], NA())</f>
        <v>0</v>
      </c>
      <c r="C461" s="14"/>
      <c r="D461" s="17" t="e" cm="1">
        <f t="array" ref="D461">_xlfn.IFS(AND(InvestorTable[[#This Row],[Investor Tally '#]] = 'Payment Tracker'!$A461, 'Payment Tracker'!$C461="Dividend") = TRUE, InvestorTable[[#This Row],[Monthly ROI (₦)]], AND(InvestorTable[[#This Row],[Investor Tally '#]] = 'Payment Tracker'!$A461, 'Payment Tracker'!$C461="Capital") = TRUE, InvestorTable[[#This Row],[Investment Capital (₦)]], AND(InvestorTable[[#This Row],[Investor Tally '#]] = 'Payment Tracker'!$A461, 'Payment Tracker'!$C461="Refund") = TRUE, InvestorTable[[#This Row],[Investment Capital (₦)]] )</f>
        <v>#N/A</v>
      </c>
      <c r="E461" s="15"/>
      <c r="F461" s="14"/>
      <c r="G461" s="14"/>
      <c r="H461" s="14"/>
    </row>
    <row r="462" spans="1:8" x14ac:dyDescent="0.3">
      <c r="A462" s="13"/>
      <c r="B462" s="16">
        <f>IF($A462=InvestorTable[[#This Row],[Investor Tally '#]],InvestorTable[[#This Row],[Investor Name]], NA())</f>
        <v>0</v>
      </c>
      <c r="C462" s="14"/>
      <c r="D462" s="17" t="e" cm="1">
        <f t="array" ref="D462">_xlfn.IFS(AND(InvestorTable[[#This Row],[Investor Tally '#]] = 'Payment Tracker'!$A462, 'Payment Tracker'!$C462="Dividend") = TRUE, InvestorTable[[#This Row],[Monthly ROI (₦)]], AND(InvestorTable[[#This Row],[Investor Tally '#]] = 'Payment Tracker'!$A462, 'Payment Tracker'!$C462="Capital") = TRUE, InvestorTable[[#This Row],[Investment Capital (₦)]], AND(InvestorTable[[#This Row],[Investor Tally '#]] = 'Payment Tracker'!$A462, 'Payment Tracker'!$C462="Refund") = TRUE, InvestorTable[[#This Row],[Investment Capital (₦)]] )</f>
        <v>#N/A</v>
      </c>
      <c r="E462" s="15"/>
      <c r="F462" s="14"/>
      <c r="G462" s="14"/>
      <c r="H462" s="14"/>
    </row>
    <row r="463" spans="1:8" x14ac:dyDescent="0.3">
      <c r="A463" s="13"/>
      <c r="B463" s="16">
        <f>IF($A463=InvestorTable[[#This Row],[Investor Tally '#]],InvestorTable[[#This Row],[Investor Name]], NA())</f>
        <v>0</v>
      </c>
      <c r="C463" s="14"/>
      <c r="D463" s="17" t="e" cm="1">
        <f t="array" ref="D463">_xlfn.IFS(AND(InvestorTable[[#This Row],[Investor Tally '#]] = 'Payment Tracker'!$A463, 'Payment Tracker'!$C463="Dividend") = TRUE, InvestorTable[[#This Row],[Monthly ROI (₦)]], AND(InvestorTable[[#This Row],[Investor Tally '#]] = 'Payment Tracker'!$A463, 'Payment Tracker'!$C463="Capital") = TRUE, InvestorTable[[#This Row],[Investment Capital (₦)]], AND(InvestorTable[[#This Row],[Investor Tally '#]] = 'Payment Tracker'!$A463, 'Payment Tracker'!$C463="Refund") = TRUE, InvestorTable[[#This Row],[Investment Capital (₦)]] )</f>
        <v>#N/A</v>
      </c>
      <c r="E463" s="15"/>
      <c r="F463" s="14"/>
      <c r="G463" s="14"/>
      <c r="H463" s="14"/>
    </row>
    <row r="464" spans="1:8" x14ac:dyDescent="0.3">
      <c r="A464" s="13"/>
      <c r="B464" s="16">
        <f>IF($A464=InvestorTable[[#This Row],[Investor Tally '#]],InvestorTable[[#This Row],[Investor Name]], NA())</f>
        <v>0</v>
      </c>
      <c r="C464" s="14"/>
      <c r="D464" s="17" t="e" cm="1">
        <f t="array" ref="D464">_xlfn.IFS(AND(InvestorTable[[#This Row],[Investor Tally '#]] = 'Payment Tracker'!$A464, 'Payment Tracker'!$C464="Dividend") = TRUE, InvestorTable[[#This Row],[Monthly ROI (₦)]], AND(InvestorTable[[#This Row],[Investor Tally '#]] = 'Payment Tracker'!$A464, 'Payment Tracker'!$C464="Capital") = TRUE, InvestorTable[[#This Row],[Investment Capital (₦)]], AND(InvestorTable[[#This Row],[Investor Tally '#]] = 'Payment Tracker'!$A464, 'Payment Tracker'!$C464="Refund") = TRUE, InvestorTable[[#This Row],[Investment Capital (₦)]] )</f>
        <v>#N/A</v>
      </c>
      <c r="E464" s="15"/>
      <c r="F464" s="14"/>
      <c r="G464" s="14"/>
      <c r="H464" s="14"/>
    </row>
    <row r="465" spans="1:8" x14ac:dyDescent="0.3">
      <c r="A465" s="13"/>
      <c r="B465" s="16">
        <f>IF($A465=InvestorTable[[#This Row],[Investor Tally '#]],InvestorTable[[#This Row],[Investor Name]], NA())</f>
        <v>0</v>
      </c>
      <c r="C465" s="14"/>
      <c r="D465" s="17" t="e" cm="1">
        <f t="array" ref="D465">_xlfn.IFS(AND(InvestorTable[[#This Row],[Investor Tally '#]] = 'Payment Tracker'!$A465, 'Payment Tracker'!$C465="Dividend") = TRUE, InvestorTable[[#This Row],[Monthly ROI (₦)]], AND(InvestorTable[[#This Row],[Investor Tally '#]] = 'Payment Tracker'!$A465, 'Payment Tracker'!$C465="Capital") = TRUE, InvestorTable[[#This Row],[Investment Capital (₦)]], AND(InvestorTable[[#This Row],[Investor Tally '#]] = 'Payment Tracker'!$A465, 'Payment Tracker'!$C465="Refund") = TRUE, InvestorTable[[#This Row],[Investment Capital (₦)]] )</f>
        <v>#N/A</v>
      </c>
      <c r="E465" s="15"/>
      <c r="F465" s="14"/>
      <c r="G465" s="14"/>
      <c r="H465" s="14"/>
    </row>
    <row r="466" spans="1:8" x14ac:dyDescent="0.3">
      <c r="A466" s="13"/>
      <c r="B466" s="16">
        <f>IF($A466=InvestorTable[[#This Row],[Investor Tally '#]],InvestorTable[[#This Row],[Investor Name]], NA())</f>
        <v>0</v>
      </c>
      <c r="C466" s="14"/>
      <c r="D466" s="17" t="e" cm="1">
        <f t="array" ref="D466">_xlfn.IFS(AND(InvestorTable[[#This Row],[Investor Tally '#]] = 'Payment Tracker'!$A466, 'Payment Tracker'!$C466="Dividend") = TRUE, InvestorTable[[#This Row],[Monthly ROI (₦)]], AND(InvestorTable[[#This Row],[Investor Tally '#]] = 'Payment Tracker'!$A466, 'Payment Tracker'!$C466="Capital") = TRUE, InvestorTable[[#This Row],[Investment Capital (₦)]], AND(InvestorTable[[#This Row],[Investor Tally '#]] = 'Payment Tracker'!$A466, 'Payment Tracker'!$C466="Refund") = TRUE, InvestorTable[[#This Row],[Investment Capital (₦)]] )</f>
        <v>#N/A</v>
      </c>
      <c r="E466" s="15"/>
      <c r="F466" s="14"/>
      <c r="G466" s="14"/>
      <c r="H466" s="14"/>
    </row>
    <row r="467" spans="1:8" x14ac:dyDescent="0.3">
      <c r="A467" s="13"/>
      <c r="B467" s="16">
        <f>IF($A467=InvestorTable[[#This Row],[Investor Tally '#]],InvestorTable[[#This Row],[Investor Name]], NA())</f>
        <v>0</v>
      </c>
      <c r="C467" s="14"/>
      <c r="D467" s="17" t="e" cm="1">
        <f t="array" ref="D467">_xlfn.IFS(AND(InvestorTable[[#This Row],[Investor Tally '#]] = 'Payment Tracker'!$A467, 'Payment Tracker'!$C467="Dividend") = TRUE, InvestorTable[[#This Row],[Monthly ROI (₦)]], AND(InvestorTable[[#This Row],[Investor Tally '#]] = 'Payment Tracker'!$A467, 'Payment Tracker'!$C467="Capital") = TRUE, InvestorTable[[#This Row],[Investment Capital (₦)]], AND(InvestorTable[[#This Row],[Investor Tally '#]] = 'Payment Tracker'!$A467, 'Payment Tracker'!$C467="Refund") = TRUE, InvestorTable[[#This Row],[Investment Capital (₦)]] )</f>
        <v>#N/A</v>
      </c>
      <c r="E467" s="15"/>
      <c r="F467" s="14"/>
      <c r="G467" s="14"/>
      <c r="H467" s="14"/>
    </row>
    <row r="468" spans="1:8" x14ac:dyDescent="0.3">
      <c r="A468" s="13"/>
      <c r="B468" s="16">
        <f>IF($A468=InvestorTable[[#This Row],[Investor Tally '#]],InvestorTable[[#This Row],[Investor Name]], NA())</f>
        <v>0</v>
      </c>
      <c r="C468" s="14"/>
      <c r="D468" s="17" t="e" cm="1">
        <f t="array" ref="D468">_xlfn.IFS(AND(InvestorTable[[#This Row],[Investor Tally '#]] = 'Payment Tracker'!$A468, 'Payment Tracker'!$C468="Dividend") = TRUE, InvestorTable[[#This Row],[Monthly ROI (₦)]], AND(InvestorTable[[#This Row],[Investor Tally '#]] = 'Payment Tracker'!$A468, 'Payment Tracker'!$C468="Capital") = TRUE, InvestorTable[[#This Row],[Investment Capital (₦)]], AND(InvestorTable[[#This Row],[Investor Tally '#]] = 'Payment Tracker'!$A468, 'Payment Tracker'!$C468="Refund") = TRUE, InvestorTable[[#This Row],[Investment Capital (₦)]] )</f>
        <v>#N/A</v>
      </c>
      <c r="E468" s="15"/>
      <c r="F468" s="14"/>
      <c r="G468" s="14"/>
      <c r="H468" s="14"/>
    </row>
    <row r="469" spans="1:8" x14ac:dyDescent="0.3">
      <c r="A469" s="13"/>
      <c r="B469" s="16">
        <f>IF($A469=InvestorTable[[#This Row],[Investor Tally '#]],InvestorTable[[#This Row],[Investor Name]], NA())</f>
        <v>0</v>
      </c>
      <c r="C469" s="14"/>
      <c r="D469" s="17" t="e" cm="1">
        <f t="array" ref="D469">_xlfn.IFS(AND(InvestorTable[[#This Row],[Investor Tally '#]] = 'Payment Tracker'!$A469, 'Payment Tracker'!$C469="Dividend") = TRUE, InvestorTable[[#This Row],[Monthly ROI (₦)]], AND(InvestorTable[[#This Row],[Investor Tally '#]] = 'Payment Tracker'!$A469, 'Payment Tracker'!$C469="Capital") = TRUE, InvestorTable[[#This Row],[Investment Capital (₦)]], AND(InvestorTable[[#This Row],[Investor Tally '#]] = 'Payment Tracker'!$A469, 'Payment Tracker'!$C469="Refund") = TRUE, InvestorTable[[#This Row],[Investment Capital (₦)]] )</f>
        <v>#N/A</v>
      </c>
      <c r="E469" s="15"/>
      <c r="F469" s="14"/>
      <c r="G469" s="14"/>
      <c r="H469" s="14"/>
    </row>
    <row r="470" spans="1:8" x14ac:dyDescent="0.3">
      <c r="A470" s="13"/>
      <c r="B470" s="16">
        <f>IF($A470=InvestorTable[[#This Row],[Investor Tally '#]],InvestorTable[[#This Row],[Investor Name]], NA())</f>
        <v>0</v>
      </c>
      <c r="C470" s="14"/>
      <c r="D470" s="17" t="e" cm="1">
        <f t="array" ref="D470">_xlfn.IFS(AND(InvestorTable[[#This Row],[Investor Tally '#]] = 'Payment Tracker'!$A470, 'Payment Tracker'!$C470="Dividend") = TRUE, InvestorTable[[#This Row],[Monthly ROI (₦)]], AND(InvestorTable[[#This Row],[Investor Tally '#]] = 'Payment Tracker'!$A470, 'Payment Tracker'!$C470="Capital") = TRUE, InvestorTable[[#This Row],[Investment Capital (₦)]], AND(InvestorTable[[#This Row],[Investor Tally '#]] = 'Payment Tracker'!$A470, 'Payment Tracker'!$C470="Refund") = TRUE, InvestorTable[[#This Row],[Investment Capital (₦)]] )</f>
        <v>#N/A</v>
      </c>
      <c r="E470" s="15"/>
      <c r="F470" s="14"/>
      <c r="G470" s="14"/>
      <c r="H470" s="14"/>
    </row>
    <row r="471" spans="1:8" x14ac:dyDescent="0.3">
      <c r="A471" s="13"/>
      <c r="B471" s="16">
        <f>IF($A471=InvestorTable[[#This Row],[Investor Tally '#]],InvestorTable[[#This Row],[Investor Name]], NA())</f>
        <v>0</v>
      </c>
      <c r="C471" s="14"/>
      <c r="D471" s="17" t="e" cm="1">
        <f t="array" ref="D471">_xlfn.IFS(AND(InvestorTable[[#This Row],[Investor Tally '#]] = 'Payment Tracker'!$A471, 'Payment Tracker'!$C471="Dividend") = TRUE, InvestorTable[[#This Row],[Monthly ROI (₦)]], AND(InvestorTable[[#This Row],[Investor Tally '#]] = 'Payment Tracker'!$A471, 'Payment Tracker'!$C471="Capital") = TRUE, InvestorTable[[#This Row],[Investment Capital (₦)]], AND(InvestorTable[[#This Row],[Investor Tally '#]] = 'Payment Tracker'!$A471, 'Payment Tracker'!$C471="Refund") = TRUE, InvestorTable[[#This Row],[Investment Capital (₦)]] )</f>
        <v>#N/A</v>
      </c>
      <c r="E471" s="15"/>
      <c r="F471" s="14"/>
      <c r="G471" s="14"/>
      <c r="H471" s="14"/>
    </row>
    <row r="472" spans="1:8" x14ac:dyDescent="0.3">
      <c r="A472" s="13"/>
      <c r="B472" s="16">
        <f>IF($A472=InvestorTable[[#This Row],[Investor Tally '#]],InvestorTable[[#This Row],[Investor Name]], NA())</f>
        <v>0</v>
      </c>
      <c r="C472" s="14"/>
      <c r="D472" s="17" t="e" cm="1">
        <f t="array" ref="D472">_xlfn.IFS(AND(InvestorTable[[#This Row],[Investor Tally '#]] = 'Payment Tracker'!$A472, 'Payment Tracker'!$C472="Dividend") = TRUE, InvestorTable[[#This Row],[Monthly ROI (₦)]], AND(InvestorTable[[#This Row],[Investor Tally '#]] = 'Payment Tracker'!$A472, 'Payment Tracker'!$C472="Capital") = TRUE, InvestorTable[[#This Row],[Investment Capital (₦)]], AND(InvestorTable[[#This Row],[Investor Tally '#]] = 'Payment Tracker'!$A472, 'Payment Tracker'!$C472="Refund") = TRUE, InvestorTable[[#This Row],[Investment Capital (₦)]] )</f>
        <v>#N/A</v>
      </c>
      <c r="E472" s="15"/>
      <c r="F472" s="14"/>
      <c r="G472" s="14"/>
      <c r="H472" s="14"/>
    </row>
    <row r="473" spans="1:8" x14ac:dyDescent="0.3">
      <c r="A473" s="13"/>
      <c r="B473" s="16">
        <f>IF($A473=InvestorTable[[#This Row],[Investor Tally '#]],InvestorTable[[#This Row],[Investor Name]], NA())</f>
        <v>0</v>
      </c>
      <c r="C473" s="14"/>
      <c r="D473" s="17" t="e" cm="1">
        <f t="array" ref="D473">_xlfn.IFS(AND(InvestorTable[[#This Row],[Investor Tally '#]] = 'Payment Tracker'!$A473, 'Payment Tracker'!$C473="Dividend") = TRUE, InvestorTable[[#This Row],[Monthly ROI (₦)]], AND(InvestorTable[[#This Row],[Investor Tally '#]] = 'Payment Tracker'!$A473, 'Payment Tracker'!$C473="Capital") = TRUE, InvestorTable[[#This Row],[Investment Capital (₦)]], AND(InvestorTable[[#This Row],[Investor Tally '#]] = 'Payment Tracker'!$A473, 'Payment Tracker'!$C473="Refund") = TRUE, InvestorTable[[#This Row],[Investment Capital (₦)]] )</f>
        <v>#N/A</v>
      </c>
      <c r="E473" s="15"/>
      <c r="F473" s="14"/>
      <c r="G473" s="14"/>
      <c r="H473" s="14"/>
    </row>
    <row r="474" spans="1:8" x14ac:dyDescent="0.3">
      <c r="A474" s="13"/>
      <c r="B474" s="16">
        <f>IF($A474=InvestorTable[[#This Row],[Investor Tally '#]],InvestorTable[[#This Row],[Investor Name]], NA())</f>
        <v>0</v>
      </c>
      <c r="C474" s="14"/>
      <c r="D474" s="17" t="e" cm="1">
        <f t="array" ref="D474">_xlfn.IFS(AND(InvestorTable[[#This Row],[Investor Tally '#]] = 'Payment Tracker'!$A474, 'Payment Tracker'!$C474="Dividend") = TRUE, InvestorTable[[#This Row],[Monthly ROI (₦)]], AND(InvestorTable[[#This Row],[Investor Tally '#]] = 'Payment Tracker'!$A474, 'Payment Tracker'!$C474="Capital") = TRUE, InvestorTable[[#This Row],[Investment Capital (₦)]], AND(InvestorTable[[#This Row],[Investor Tally '#]] = 'Payment Tracker'!$A474, 'Payment Tracker'!$C474="Refund") = TRUE, InvestorTable[[#This Row],[Investment Capital (₦)]] )</f>
        <v>#N/A</v>
      </c>
      <c r="E474" s="15"/>
      <c r="F474" s="14"/>
      <c r="G474" s="14"/>
      <c r="H474" s="14"/>
    </row>
    <row r="475" spans="1:8" x14ac:dyDescent="0.3">
      <c r="A475" s="13"/>
      <c r="B475" s="16">
        <f>IF($A475=InvestorTable[[#This Row],[Investor Tally '#]],InvestorTable[[#This Row],[Investor Name]], NA())</f>
        <v>0</v>
      </c>
      <c r="C475" s="14"/>
      <c r="D475" s="17" t="e" cm="1">
        <f t="array" ref="D475">_xlfn.IFS(AND(InvestorTable[[#This Row],[Investor Tally '#]] = 'Payment Tracker'!$A475, 'Payment Tracker'!$C475="Dividend") = TRUE, InvestorTable[[#This Row],[Monthly ROI (₦)]], AND(InvestorTable[[#This Row],[Investor Tally '#]] = 'Payment Tracker'!$A475, 'Payment Tracker'!$C475="Capital") = TRUE, InvestorTable[[#This Row],[Investment Capital (₦)]], AND(InvestorTable[[#This Row],[Investor Tally '#]] = 'Payment Tracker'!$A475, 'Payment Tracker'!$C475="Refund") = TRUE, InvestorTable[[#This Row],[Investment Capital (₦)]] )</f>
        <v>#N/A</v>
      </c>
      <c r="E475" s="15"/>
      <c r="F475" s="14"/>
      <c r="G475" s="14"/>
      <c r="H475" s="14"/>
    </row>
    <row r="476" spans="1:8" x14ac:dyDescent="0.3">
      <c r="A476" s="13"/>
      <c r="B476" s="16">
        <f>IF($A476=InvestorTable[[#This Row],[Investor Tally '#]],InvestorTable[[#This Row],[Investor Name]], NA())</f>
        <v>0</v>
      </c>
      <c r="C476" s="14"/>
      <c r="D476" s="17" t="e" cm="1">
        <f t="array" ref="D476">_xlfn.IFS(AND(InvestorTable[[#This Row],[Investor Tally '#]] = 'Payment Tracker'!$A476, 'Payment Tracker'!$C476="Dividend") = TRUE, InvestorTable[[#This Row],[Monthly ROI (₦)]], AND(InvestorTable[[#This Row],[Investor Tally '#]] = 'Payment Tracker'!$A476, 'Payment Tracker'!$C476="Capital") = TRUE, InvestorTable[[#This Row],[Investment Capital (₦)]], AND(InvestorTable[[#This Row],[Investor Tally '#]] = 'Payment Tracker'!$A476, 'Payment Tracker'!$C476="Refund") = TRUE, InvestorTable[[#This Row],[Investment Capital (₦)]] )</f>
        <v>#N/A</v>
      </c>
      <c r="E476" s="15"/>
      <c r="F476" s="14"/>
      <c r="G476" s="14"/>
      <c r="H476" s="14"/>
    </row>
    <row r="477" spans="1:8" x14ac:dyDescent="0.3">
      <c r="A477" s="13"/>
      <c r="B477" s="16">
        <f>IF($A477=InvestorTable[[#This Row],[Investor Tally '#]],InvestorTable[[#This Row],[Investor Name]], NA())</f>
        <v>0</v>
      </c>
      <c r="C477" s="14"/>
      <c r="D477" s="17" t="e" cm="1">
        <f t="array" ref="D477">_xlfn.IFS(AND(InvestorTable[[#This Row],[Investor Tally '#]] = 'Payment Tracker'!$A477, 'Payment Tracker'!$C477="Dividend") = TRUE, InvestorTable[[#This Row],[Monthly ROI (₦)]], AND(InvestorTable[[#This Row],[Investor Tally '#]] = 'Payment Tracker'!$A477, 'Payment Tracker'!$C477="Capital") = TRUE, InvestorTable[[#This Row],[Investment Capital (₦)]], AND(InvestorTable[[#This Row],[Investor Tally '#]] = 'Payment Tracker'!$A477, 'Payment Tracker'!$C477="Refund") = TRUE, InvestorTable[[#This Row],[Investment Capital (₦)]] )</f>
        <v>#N/A</v>
      </c>
      <c r="E477" s="15"/>
      <c r="F477" s="14"/>
      <c r="G477" s="14"/>
      <c r="H477" s="14"/>
    </row>
    <row r="478" spans="1:8" x14ac:dyDescent="0.3">
      <c r="A478" s="13"/>
      <c r="B478" s="16">
        <f>IF($A478=InvestorTable[[#This Row],[Investor Tally '#]],InvestorTable[[#This Row],[Investor Name]], NA())</f>
        <v>0</v>
      </c>
      <c r="C478" s="14"/>
      <c r="D478" s="17" t="e" cm="1">
        <f t="array" ref="D478">_xlfn.IFS(AND(InvestorTable[[#This Row],[Investor Tally '#]] = 'Payment Tracker'!$A478, 'Payment Tracker'!$C478="Dividend") = TRUE, InvestorTable[[#This Row],[Monthly ROI (₦)]], AND(InvestorTable[[#This Row],[Investor Tally '#]] = 'Payment Tracker'!$A478, 'Payment Tracker'!$C478="Capital") = TRUE, InvestorTable[[#This Row],[Investment Capital (₦)]], AND(InvestorTable[[#This Row],[Investor Tally '#]] = 'Payment Tracker'!$A478, 'Payment Tracker'!$C478="Refund") = TRUE, InvestorTable[[#This Row],[Investment Capital (₦)]] )</f>
        <v>#N/A</v>
      </c>
      <c r="E478" s="15"/>
      <c r="F478" s="14"/>
      <c r="G478" s="14"/>
      <c r="H478" s="14"/>
    </row>
    <row r="479" spans="1:8" x14ac:dyDescent="0.3">
      <c r="A479" s="13"/>
      <c r="B479" s="16">
        <f>IF($A479=InvestorTable[[#This Row],[Investor Tally '#]],InvestorTable[[#This Row],[Investor Name]], NA())</f>
        <v>0</v>
      </c>
      <c r="C479" s="14"/>
      <c r="D479" s="17" t="e" cm="1">
        <f t="array" ref="D479">_xlfn.IFS(AND(InvestorTable[[#This Row],[Investor Tally '#]] = 'Payment Tracker'!$A479, 'Payment Tracker'!$C479="Dividend") = TRUE, InvestorTable[[#This Row],[Monthly ROI (₦)]], AND(InvestorTable[[#This Row],[Investor Tally '#]] = 'Payment Tracker'!$A479, 'Payment Tracker'!$C479="Capital") = TRUE, InvestorTable[[#This Row],[Investment Capital (₦)]], AND(InvestorTable[[#This Row],[Investor Tally '#]] = 'Payment Tracker'!$A479, 'Payment Tracker'!$C479="Refund") = TRUE, InvestorTable[[#This Row],[Investment Capital (₦)]] )</f>
        <v>#N/A</v>
      </c>
      <c r="E479" s="15"/>
      <c r="F479" s="14"/>
      <c r="G479" s="14"/>
      <c r="H479" s="14"/>
    </row>
    <row r="480" spans="1:8" x14ac:dyDescent="0.3">
      <c r="A480" s="13"/>
      <c r="B480" s="16">
        <f>IF($A480=InvestorTable[[#This Row],[Investor Tally '#]],InvestorTable[[#This Row],[Investor Name]], NA())</f>
        <v>0</v>
      </c>
      <c r="C480" s="14"/>
      <c r="D480" s="17" t="e" cm="1">
        <f t="array" ref="D480">_xlfn.IFS(AND(InvestorTable[[#This Row],[Investor Tally '#]] = 'Payment Tracker'!$A480, 'Payment Tracker'!$C480="Dividend") = TRUE, InvestorTable[[#This Row],[Monthly ROI (₦)]], AND(InvestorTable[[#This Row],[Investor Tally '#]] = 'Payment Tracker'!$A480, 'Payment Tracker'!$C480="Capital") = TRUE, InvestorTable[[#This Row],[Investment Capital (₦)]], AND(InvestorTable[[#This Row],[Investor Tally '#]] = 'Payment Tracker'!$A480, 'Payment Tracker'!$C480="Refund") = TRUE, InvestorTable[[#This Row],[Investment Capital (₦)]] )</f>
        <v>#N/A</v>
      </c>
      <c r="E480" s="15"/>
      <c r="F480" s="14"/>
      <c r="G480" s="14"/>
      <c r="H480" s="14"/>
    </row>
    <row r="481" spans="1:8" x14ac:dyDescent="0.3">
      <c r="A481" s="13"/>
      <c r="B481" s="16">
        <f>IF($A481=InvestorTable[[#This Row],[Investor Tally '#]],InvestorTable[[#This Row],[Investor Name]], NA())</f>
        <v>0</v>
      </c>
      <c r="C481" s="14"/>
      <c r="D481" s="17" t="e" cm="1">
        <f t="array" ref="D481">_xlfn.IFS(AND(InvestorTable[[#This Row],[Investor Tally '#]] = 'Payment Tracker'!$A481, 'Payment Tracker'!$C481="Dividend") = TRUE, InvestorTable[[#This Row],[Monthly ROI (₦)]], AND(InvestorTable[[#This Row],[Investor Tally '#]] = 'Payment Tracker'!$A481, 'Payment Tracker'!$C481="Capital") = TRUE, InvestorTable[[#This Row],[Investment Capital (₦)]], AND(InvestorTable[[#This Row],[Investor Tally '#]] = 'Payment Tracker'!$A481, 'Payment Tracker'!$C481="Refund") = TRUE, InvestorTable[[#This Row],[Investment Capital (₦)]] )</f>
        <v>#N/A</v>
      </c>
      <c r="E481" s="15"/>
      <c r="F481" s="14"/>
      <c r="G481" s="14"/>
      <c r="H481" s="14"/>
    </row>
    <row r="482" spans="1:8" x14ac:dyDescent="0.3">
      <c r="A482" s="13"/>
      <c r="B482" s="16">
        <f>IF($A482=InvestorTable[[#This Row],[Investor Tally '#]],InvestorTable[[#This Row],[Investor Name]], NA())</f>
        <v>0</v>
      </c>
      <c r="C482" s="14"/>
      <c r="D482" s="17" t="e" cm="1">
        <f t="array" ref="D482">_xlfn.IFS(AND(InvestorTable[[#This Row],[Investor Tally '#]] = 'Payment Tracker'!$A482, 'Payment Tracker'!$C482="Dividend") = TRUE, InvestorTable[[#This Row],[Monthly ROI (₦)]], AND(InvestorTable[[#This Row],[Investor Tally '#]] = 'Payment Tracker'!$A482, 'Payment Tracker'!$C482="Capital") = TRUE, InvestorTable[[#This Row],[Investment Capital (₦)]], AND(InvestorTable[[#This Row],[Investor Tally '#]] = 'Payment Tracker'!$A482, 'Payment Tracker'!$C482="Refund") = TRUE, InvestorTable[[#This Row],[Investment Capital (₦)]] )</f>
        <v>#N/A</v>
      </c>
      <c r="E482" s="15"/>
      <c r="F482" s="14"/>
      <c r="G482" s="14"/>
      <c r="H482" s="14"/>
    </row>
    <row r="483" spans="1:8" x14ac:dyDescent="0.3">
      <c r="A483" s="13"/>
      <c r="B483" s="16">
        <f>IF($A483=InvestorTable[[#This Row],[Investor Tally '#]],InvestorTable[[#This Row],[Investor Name]], NA())</f>
        <v>0</v>
      </c>
      <c r="C483" s="14"/>
      <c r="D483" s="17" t="e" cm="1">
        <f t="array" ref="D483">_xlfn.IFS(AND(InvestorTable[[#This Row],[Investor Tally '#]] = 'Payment Tracker'!$A483, 'Payment Tracker'!$C483="Dividend") = TRUE, InvestorTable[[#This Row],[Monthly ROI (₦)]], AND(InvestorTable[[#This Row],[Investor Tally '#]] = 'Payment Tracker'!$A483, 'Payment Tracker'!$C483="Capital") = TRUE, InvestorTable[[#This Row],[Investment Capital (₦)]], AND(InvestorTable[[#This Row],[Investor Tally '#]] = 'Payment Tracker'!$A483, 'Payment Tracker'!$C483="Refund") = TRUE, InvestorTable[[#This Row],[Investment Capital (₦)]] )</f>
        <v>#N/A</v>
      </c>
      <c r="E483" s="15"/>
      <c r="F483" s="14"/>
      <c r="G483" s="14"/>
      <c r="H483" s="14"/>
    </row>
    <row r="484" spans="1:8" x14ac:dyDescent="0.3">
      <c r="A484" s="13"/>
      <c r="B484" s="16">
        <f>IF($A484=InvestorTable[[#This Row],[Investor Tally '#]],InvestorTable[[#This Row],[Investor Name]], NA())</f>
        <v>0</v>
      </c>
      <c r="C484" s="14"/>
      <c r="D484" s="17" t="e" cm="1">
        <f t="array" ref="D484">_xlfn.IFS(AND(InvestorTable[[#This Row],[Investor Tally '#]] = 'Payment Tracker'!$A484, 'Payment Tracker'!$C484="Dividend") = TRUE, InvestorTable[[#This Row],[Monthly ROI (₦)]], AND(InvestorTable[[#This Row],[Investor Tally '#]] = 'Payment Tracker'!$A484, 'Payment Tracker'!$C484="Capital") = TRUE, InvestorTable[[#This Row],[Investment Capital (₦)]], AND(InvestorTable[[#This Row],[Investor Tally '#]] = 'Payment Tracker'!$A484, 'Payment Tracker'!$C484="Refund") = TRUE, InvestorTable[[#This Row],[Investment Capital (₦)]] )</f>
        <v>#N/A</v>
      </c>
      <c r="E484" s="15"/>
      <c r="F484" s="14"/>
      <c r="G484" s="14"/>
      <c r="H484" s="14"/>
    </row>
    <row r="485" spans="1:8" x14ac:dyDescent="0.3">
      <c r="A485" s="13"/>
      <c r="B485" s="16">
        <f>IF($A485=InvestorTable[[#This Row],[Investor Tally '#]],InvestorTable[[#This Row],[Investor Name]], NA())</f>
        <v>0</v>
      </c>
      <c r="C485" s="14"/>
      <c r="D485" s="17" t="e" cm="1">
        <f t="array" ref="D485">_xlfn.IFS(AND(InvestorTable[[#This Row],[Investor Tally '#]] = 'Payment Tracker'!$A485, 'Payment Tracker'!$C485="Dividend") = TRUE, InvestorTable[[#This Row],[Monthly ROI (₦)]], AND(InvestorTable[[#This Row],[Investor Tally '#]] = 'Payment Tracker'!$A485, 'Payment Tracker'!$C485="Capital") = TRUE, InvestorTable[[#This Row],[Investment Capital (₦)]], AND(InvestorTable[[#This Row],[Investor Tally '#]] = 'Payment Tracker'!$A485, 'Payment Tracker'!$C485="Refund") = TRUE, InvestorTable[[#This Row],[Investment Capital (₦)]] )</f>
        <v>#N/A</v>
      </c>
      <c r="E485" s="15"/>
      <c r="F485" s="14"/>
      <c r="G485" s="14"/>
      <c r="H485" s="14"/>
    </row>
    <row r="486" spans="1:8" x14ac:dyDescent="0.3">
      <c r="A486" s="13"/>
      <c r="B486" s="16">
        <f>IF($A486=InvestorTable[[#This Row],[Investor Tally '#]],InvestorTable[[#This Row],[Investor Name]], NA())</f>
        <v>0</v>
      </c>
      <c r="C486" s="14"/>
      <c r="D486" s="17" t="e" cm="1">
        <f t="array" ref="D486">_xlfn.IFS(AND(InvestorTable[[#This Row],[Investor Tally '#]] = 'Payment Tracker'!$A486, 'Payment Tracker'!$C486="Dividend") = TRUE, InvestorTable[[#This Row],[Monthly ROI (₦)]], AND(InvestorTable[[#This Row],[Investor Tally '#]] = 'Payment Tracker'!$A486, 'Payment Tracker'!$C486="Capital") = TRUE, InvestorTable[[#This Row],[Investment Capital (₦)]], AND(InvestorTable[[#This Row],[Investor Tally '#]] = 'Payment Tracker'!$A486, 'Payment Tracker'!$C486="Refund") = TRUE, InvestorTable[[#This Row],[Investment Capital (₦)]] )</f>
        <v>#N/A</v>
      </c>
      <c r="E486" s="15"/>
      <c r="F486" s="14"/>
      <c r="G486" s="14"/>
      <c r="H486" s="14"/>
    </row>
    <row r="487" spans="1:8" x14ac:dyDescent="0.3">
      <c r="A487" s="13"/>
      <c r="B487" s="16">
        <f>IF($A487=InvestorTable[[#This Row],[Investor Tally '#]],InvestorTable[[#This Row],[Investor Name]], NA())</f>
        <v>0</v>
      </c>
      <c r="C487" s="14"/>
      <c r="D487" s="17" t="e" cm="1">
        <f t="array" ref="D487">_xlfn.IFS(AND(InvestorTable[[#This Row],[Investor Tally '#]] = 'Payment Tracker'!$A487, 'Payment Tracker'!$C487="Dividend") = TRUE, InvestorTable[[#This Row],[Monthly ROI (₦)]], AND(InvestorTable[[#This Row],[Investor Tally '#]] = 'Payment Tracker'!$A487, 'Payment Tracker'!$C487="Capital") = TRUE, InvestorTable[[#This Row],[Investment Capital (₦)]], AND(InvestorTable[[#This Row],[Investor Tally '#]] = 'Payment Tracker'!$A487, 'Payment Tracker'!$C487="Refund") = TRUE, InvestorTable[[#This Row],[Investment Capital (₦)]] )</f>
        <v>#N/A</v>
      </c>
      <c r="E487" s="15"/>
      <c r="F487" s="14"/>
      <c r="G487" s="14"/>
      <c r="H487" s="14"/>
    </row>
    <row r="488" spans="1:8" x14ac:dyDescent="0.3">
      <c r="A488" s="13"/>
      <c r="B488" s="16">
        <f>IF($A488=InvestorTable[[#This Row],[Investor Tally '#]],InvestorTable[[#This Row],[Investor Name]], NA())</f>
        <v>0</v>
      </c>
      <c r="C488" s="14"/>
      <c r="D488" s="17" t="e" cm="1">
        <f t="array" ref="D488">_xlfn.IFS(AND(InvestorTable[[#This Row],[Investor Tally '#]] = 'Payment Tracker'!$A488, 'Payment Tracker'!$C488="Dividend") = TRUE, InvestorTable[[#This Row],[Monthly ROI (₦)]], AND(InvestorTable[[#This Row],[Investor Tally '#]] = 'Payment Tracker'!$A488, 'Payment Tracker'!$C488="Capital") = TRUE, InvestorTable[[#This Row],[Investment Capital (₦)]], AND(InvestorTable[[#This Row],[Investor Tally '#]] = 'Payment Tracker'!$A488, 'Payment Tracker'!$C488="Refund") = TRUE, InvestorTable[[#This Row],[Investment Capital (₦)]] )</f>
        <v>#N/A</v>
      </c>
      <c r="E488" s="15"/>
      <c r="F488" s="14"/>
      <c r="G488" s="14"/>
      <c r="H488" s="14"/>
    </row>
    <row r="489" spans="1:8" x14ac:dyDescent="0.3">
      <c r="A489" s="13"/>
      <c r="B489" s="16">
        <f>IF($A489=InvestorTable[[#This Row],[Investor Tally '#]],InvestorTable[[#This Row],[Investor Name]], NA())</f>
        <v>0</v>
      </c>
      <c r="C489" s="14"/>
      <c r="D489" s="17" t="e" cm="1">
        <f t="array" ref="D489">_xlfn.IFS(AND(InvestorTable[[#This Row],[Investor Tally '#]] = 'Payment Tracker'!$A489, 'Payment Tracker'!$C489="Dividend") = TRUE, InvestorTable[[#This Row],[Monthly ROI (₦)]], AND(InvestorTable[[#This Row],[Investor Tally '#]] = 'Payment Tracker'!$A489, 'Payment Tracker'!$C489="Capital") = TRUE, InvestorTable[[#This Row],[Investment Capital (₦)]], AND(InvestorTable[[#This Row],[Investor Tally '#]] = 'Payment Tracker'!$A489, 'Payment Tracker'!$C489="Refund") = TRUE, InvestorTable[[#This Row],[Investment Capital (₦)]] )</f>
        <v>#N/A</v>
      </c>
      <c r="E489" s="15"/>
      <c r="F489" s="14"/>
      <c r="G489" s="14"/>
      <c r="H489" s="14"/>
    </row>
    <row r="490" spans="1:8" x14ac:dyDescent="0.3">
      <c r="A490" s="13"/>
      <c r="B490" s="16">
        <f>IF($A490=InvestorTable[[#This Row],[Investor Tally '#]],InvestorTable[[#This Row],[Investor Name]], NA())</f>
        <v>0</v>
      </c>
      <c r="C490" s="14"/>
      <c r="D490" s="17" t="e" cm="1">
        <f t="array" ref="D490">_xlfn.IFS(AND(InvestorTable[[#This Row],[Investor Tally '#]] = 'Payment Tracker'!$A490, 'Payment Tracker'!$C490="Dividend") = TRUE, InvestorTable[[#This Row],[Monthly ROI (₦)]], AND(InvestorTable[[#This Row],[Investor Tally '#]] = 'Payment Tracker'!$A490, 'Payment Tracker'!$C490="Capital") = TRUE, InvestorTable[[#This Row],[Investment Capital (₦)]], AND(InvestorTable[[#This Row],[Investor Tally '#]] = 'Payment Tracker'!$A490, 'Payment Tracker'!$C490="Refund") = TRUE, InvestorTable[[#This Row],[Investment Capital (₦)]] )</f>
        <v>#N/A</v>
      </c>
      <c r="E490" s="15"/>
      <c r="F490" s="14"/>
      <c r="G490" s="14"/>
      <c r="H490" s="14"/>
    </row>
    <row r="491" spans="1:8" x14ac:dyDescent="0.3">
      <c r="A491" s="13"/>
      <c r="B491" s="16">
        <f>IF($A491=InvestorTable[[#This Row],[Investor Tally '#]],InvestorTable[[#This Row],[Investor Name]], NA())</f>
        <v>0</v>
      </c>
      <c r="C491" s="14"/>
      <c r="D491" s="17" t="e" cm="1">
        <f t="array" ref="D491">_xlfn.IFS(AND(InvestorTable[[#This Row],[Investor Tally '#]] = 'Payment Tracker'!$A491, 'Payment Tracker'!$C491="Dividend") = TRUE, InvestorTable[[#This Row],[Monthly ROI (₦)]], AND(InvestorTable[[#This Row],[Investor Tally '#]] = 'Payment Tracker'!$A491, 'Payment Tracker'!$C491="Capital") = TRUE, InvestorTable[[#This Row],[Investment Capital (₦)]], AND(InvestorTable[[#This Row],[Investor Tally '#]] = 'Payment Tracker'!$A491, 'Payment Tracker'!$C491="Refund") = TRUE, InvestorTable[[#This Row],[Investment Capital (₦)]] )</f>
        <v>#N/A</v>
      </c>
      <c r="E491" s="15"/>
      <c r="F491" s="14"/>
      <c r="G491" s="14"/>
      <c r="H491" s="14"/>
    </row>
    <row r="492" spans="1:8" x14ac:dyDescent="0.3">
      <c r="A492" s="13"/>
      <c r="B492" s="16">
        <f>IF($A492=InvestorTable[[#This Row],[Investor Tally '#]],InvestorTable[[#This Row],[Investor Name]], NA())</f>
        <v>0</v>
      </c>
      <c r="C492" s="14"/>
      <c r="D492" s="17" t="e" cm="1">
        <f t="array" ref="D492">_xlfn.IFS(AND(InvestorTable[[#This Row],[Investor Tally '#]] = 'Payment Tracker'!$A492, 'Payment Tracker'!$C492="Dividend") = TRUE, InvestorTable[[#This Row],[Monthly ROI (₦)]], AND(InvestorTable[[#This Row],[Investor Tally '#]] = 'Payment Tracker'!$A492, 'Payment Tracker'!$C492="Capital") = TRUE, InvestorTable[[#This Row],[Investment Capital (₦)]], AND(InvestorTable[[#This Row],[Investor Tally '#]] = 'Payment Tracker'!$A492, 'Payment Tracker'!$C492="Refund") = TRUE, InvestorTable[[#This Row],[Investment Capital (₦)]] )</f>
        <v>#N/A</v>
      </c>
      <c r="E492" s="15"/>
      <c r="F492" s="14"/>
      <c r="G492" s="14"/>
      <c r="H492" s="14"/>
    </row>
    <row r="493" spans="1:8" x14ac:dyDescent="0.3">
      <c r="A493" s="13"/>
      <c r="B493" s="16">
        <f>IF($A493=InvestorTable[[#This Row],[Investor Tally '#]],InvestorTable[[#This Row],[Investor Name]], NA())</f>
        <v>0</v>
      </c>
      <c r="C493" s="14"/>
      <c r="D493" s="17" t="e" cm="1">
        <f t="array" ref="D493">_xlfn.IFS(AND(InvestorTable[[#This Row],[Investor Tally '#]] = 'Payment Tracker'!$A493, 'Payment Tracker'!$C493="Dividend") = TRUE, InvestorTable[[#This Row],[Monthly ROI (₦)]], AND(InvestorTable[[#This Row],[Investor Tally '#]] = 'Payment Tracker'!$A493, 'Payment Tracker'!$C493="Capital") = TRUE, InvestorTable[[#This Row],[Investment Capital (₦)]], AND(InvestorTable[[#This Row],[Investor Tally '#]] = 'Payment Tracker'!$A493, 'Payment Tracker'!$C493="Refund") = TRUE, InvestorTable[[#This Row],[Investment Capital (₦)]] )</f>
        <v>#N/A</v>
      </c>
      <c r="E493" s="15"/>
      <c r="F493" s="14"/>
      <c r="G493" s="14"/>
      <c r="H493" s="14"/>
    </row>
    <row r="494" spans="1:8" x14ac:dyDescent="0.3">
      <c r="A494" s="13"/>
      <c r="B494" s="16">
        <f>IF($A494=InvestorTable[[#This Row],[Investor Tally '#]],InvestorTable[[#This Row],[Investor Name]], NA())</f>
        <v>0</v>
      </c>
      <c r="C494" s="14"/>
      <c r="D494" s="17" t="e" cm="1">
        <f t="array" ref="D494">_xlfn.IFS(AND(InvestorTable[[#This Row],[Investor Tally '#]] = 'Payment Tracker'!$A494, 'Payment Tracker'!$C494="Dividend") = TRUE, InvestorTable[[#This Row],[Monthly ROI (₦)]], AND(InvestorTable[[#This Row],[Investor Tally '#]] = 'Payment Tracker'!$A494, 'Payment Tracker'!$C494="Capital") = TRUE, InvestorTable[[#This Row],[Investment Capital (₦)]], AND(InvestorTable[[#This Row],[Investor Tally '#]] = 'Payment Tracker'!$A494, 'Payment Tracker'!$C494="Refund") = TRUE, InvestorTable[[#This Row],[Investment Capital (₦)]] )</f>
        <v>#N/A</v>
      </c>
      <c r="E494" s="15"/>
      <c r="F494" s="14"/>
      <c r="G494" s="14"/>
      <c r="H494" s="14"/>
    </row>
    <row r="495" spans="1:8" x14ac:dyDescent="0.3">
      <c r="A495" s="13"/>
      <c r="B495" s="16">
        <f>IF($A495=InvestorTable[[#This Row],[Investor Tally '#]],InvestorTable[[#This Row],[Investor Name]], NA())</f>
        <v>0</v>
      </c>
      <c r="C495" s="14"/>
      <c r="D495" s="17" t="e" cm="1">
        <f t="array" ref="D495">_xlfn.IFS(AND(InvestorTable[[#This Row],[Investor Tally '#]] = 'Payment Tracker'!$A495, 'Payment Tracker'!$C495="Dividend") = TRUE, InvestorTable[[#This Row],[Monthly ROI (₦)]], AND(InvestorTable[[#This Row],[Investor Tally '#]] = 'Payment Tracker'!$A495, 'Payment Tracker'!$C495="Capital") = TRUE, InvestorTable[[#This Row],[Investment Capital (₦)]], AND(InvestorTable[[#This Row],[Investor Tally '#]] = 'Payment Tracker'!$A495, 'Payment Tracker'!$C495="Refund") = TRUE, InvestorTable[[#This Row],[Investment Capital (₦)]] )</f>
        <v>#N/A</v>
      </c>
      <c r="E495" s="15"/>
      <c r="F495" s="14"/>
      <c r="G495" s="14"/>
      <c r="H495" s="14"/>
    </row>
    <row r="496" spans="1:8" x14ac:dyDescent="0.3">
      <c r="A496" s="13"/>
      <c r="B496" s="16">
        <f>IF($A496=InvestorTable[[#This Row],[Investor Tally '#]],InvestorTable[[#This Row],[Investor Name]], NA())</f>
        <v>0</v>
      </c>
      <c r="C496" s="14"/>
      <c r="D496" s="17" t="e" cm="1">
        <f t="array" ref="D496">_xlfn.IFS(AND(InvestorTable[[#This Row],[Investor Tally '#]] = 'Payment Tracker'!$A496, 'Payment Tracker'!$C496="Dividend") = TRUE, InvestorTable[[#This Row],[Monthly ROI (₦)]], AND(InvestorTable[[#This Row],[Investor Tally '#]] = 'Payment Tracker'!$A496, 'Payment Tracker'!$C496="Capital") = TRUE, InvestorTable[[#This Row],[Investment Capital (₦)]], AND(InvestorTable[[#This Row],[Investor Tally '#]] = 'Payment Tracker'!$A496, 'Payment Tracker'!$C496="Refund") = TRUE, InvestorTable[[#This Row],[Investment Capital (₦)]] )</f>
        <v>#N/A</v>
      </c>
      <c r="E496" s="15"/>
      <c r="F496" s="14"/>
      <c r="G496" s="14"/>
      <c r="H496" s="14"/>
    </row>
    <row r="497" spans="1:8" x14ac:dyDescent="0.3">
      <c r="A497" s="13"/>
      <c r="B497" s="16">
        <f>IF($A497=InvestorTable[[#This Row],[Investor Tally '#]],InvestorTable[[#This Row],[Investor Name]], NA())</f>
        <v>0</v>
      </c>
      <c r="C497" s="14"/>
      <c r="D497" s="17" t="e" cm="1">
        <f t="array" ref="D497">_xlfn.IFS(AND(InvestorTable[[#This Row],[Investor Tally '#]] = 'Payment Tracker'!$A497, 'Payment Tracker'!$C497="Dividend") = TRUE, InvestorTable[[#This Row],[Monthly ROI (₦)]], AND(InvestorTable[[#This Row],[Investor Tally '#]] = 'Payment Tracker'!$A497, 'Payment Tracker'!$C497="Capital") = TRUE, InvestorTable[[#This Row],[Investment Capital (₦)]], AND(InvestorTable[[#This Row],[Investor Tally '#]] = 'Payment Tracker'!$A497, 'Payment Tracker'!$C497="Refund") = TRUE, InvestorTable[[#This Row],[Investment Capital (₦)]] )</f>
        <v>#N/A</v>
      </c>
      <c r="E497" s="15"/>
      <c r="F497" s="14"/>
      <c r="G497" s="14"/>
      <c r="H497" s="14"/>
    </row>
    <row r="498" spans="1:8" x14ac:dyDescent="0.3">
      <c r="A498" s="13"/>
      <c r="B498" s="16">
        <f>IF($A498=InvestorTable[[#This Row],[Investor Tally '#]],InvestorTable[[#This Row],[Investor Name]], NA())</f>
        <v>0</v>
      </c>
      <c r="C498" s="14"/>
      <c r="D498" s="17" t="e" cm="1">
        <f t="array" ref="D498">_xlfn.IFS(AND(InvestorTable[[#This Row],[Investor Tally '#]] = 'Payment Tracker'!$A498, 'Payment Tracker'!$C498="Dividend") = TRUE, InvestorTable[[#This Row],[Monthly ROI (₦)]], AND(InvestorTable[[#This Row],[Investor Tally '#]] = 'Payment Tracker'!$A498, 'Payment Tracker'!$C498="Capital") = TRUE, InvestorTable[[#This Row],[Investment Capital (₦)]], AND(InvestorTable[[#This Row],[Investor Tally '#]] = 'Payment Tracker'!$A498, 'Payment Tracker'!$C498="Refund") = TRUE, InvestorTable[[#This Row],[Investment Capital (₦)]] )</f>
        <v>#N/A</v>
      </c>
      <c r="E498" s="15"/>
      <c r="F498" s="14"/>
      <c r="G498" s="14"/>
      <c r="H498" s="14"/>
    </row>
    <row r="499" spans="1:8" x14ac:dyDescent="0.3">
      <c r="A499" s="13"/>
      <c r="B499" s="16">
        <f>IF($A499=InvestorTable[[#This Row],[Investor Tally '#]],InvestorTable[[#This Row],[Investor Name]], NA())</f>
        <v>0</v>
      </c>
      <c r="C499" s="14"/>
      <c r="D499" s="17" t="e" cm="1">
        <f t="array" ref="D499">_xlfn.IFS(AND(InvestorTable[[#This Row],[Investor Tally '#]] = 'Payment Tracker'!$A499, 'Payment Tracker'!$C499="Dividend") = TRUE, InvestorTable[[#This Row],[Monthly ROI (₦)]], AND(InvestorTable[[#This Row],[Investor Tally '#]] = 'Payment Tracker'!$A499, 'Payment Tracker'!$C499="Capital") = TRUE, InvestorTable[[#This Row],[Investment Capital (₦)]], AND(InvestorTable[[#This Row],[Investor Tally '#]] = 'Payment Tracker'!$A499, 'Payment Tracker'!$C499="Refund") = TRUE, InvestorTable[[#This Row],[Investment Capital (₦)]] )</f>
        <v>#N/A</v>
      </c>
      <c r="E499" s="15"/>
      <c r="F499" s="14"/>
      <c r="G499" s="14"/>
      <c r="H499" s="14"/>
    </row>
    <row r="500" spans="1:8" x14ac:dyDescent="0.3">
      <c r="A500" s="13"/>
      <c r="B500" s="16">
        <f>IF($A500=InvestorTable[[#This Row],[Investor Tally '#]],InvestorTable[[#This Row],[Investor Name]], NA())</f>
        <v>0</v>
      </c>
      <c r="C500" s="14"/>
      <c r="D500" s="17" t="e" cm="1">
        <f t="array" ref="D500">_xlfn.IFS(AND(InvestorTable[[#This Row],[Investor Tally '#]] = 'Payment Tracker'!$A500, 'Payment Tracker'!$C500="Dividend") = TRUE, InvestorTable[[#This Row],[Monthly ROI (₦)]], AND(InvestorTable[[#This Row],[Investor Tally '#]] = 'Payment Tracker'!$A500, 'Payment Tracker'!$C500="Capital") = TRUE, InvestorTable[[#This Row],[Investment Capital (₦)]], AND(InvestorTable[[#This Row],[Investor Tally '#]] = 'Payment Tracker'!$A500, 'Payment Tracker'!$C500="Refund") = TRUE, InvestorTable[[#This Row],[Investment Capital (₦)]] )</f>
        <v>#N/A</v>
      </c>
      <c r="E500" s="15"/>
      <c r="F500" s="14"/>
      <c r="G500" s="14"/>
      <c r="H500" s="14"/>
    </row>
    <row r="501" spans="1:8" x14ac:dyDescent="0.3">
      <c r="A501" s="13"/>
      <c r="B501" s="16">
        <f>IF($A501=InvestorTable[[#This Row],[Investor Tally '#]],InvestorTable[[#This Row],[Investor Name]], NA())</f>
        <v>0</v>
      </c>
      <c r="C501" s="14"/>
      <c r="D501" s="17" t="e" cm="1">
        <f t="array" ref="D501">_xlfn.IFS(AND(InvestorTable[[#This Row],[Investor Tally '#]] = 'Payment Tracker'!$A501, 'Payment Tracker'!$C501="Dividend") = TRUE, InvestorTable[[#This Row],[Monthly ROI (₦)]], AND(InvestorTable[[#This Row],[Investor Tally '#]] = 'Payment Tracker'!$A501, 'Payment Tracker'!$C501="Capital") = TRUE, InvestorTable[[#This Row],[Investment Capital (₦)]], AND(InvestorTable[[#This Row],[Investor Tally '#]] = 'Payment Tracker'!$A501, 'Payment Tracker'!$C501="Refund") = TRUE, InvestorTable[[#This Row],[Investment Capital (₦)]] )</f>
        <v>#N/A</v>
      </c>
      <c r="E501" s="15"/>
      <c r="F501" s="14"/>
      <c r="G501" s="14"/>
      <c r="H501" s="14"/>
    </row>
    <row r="502" spans="1:8" x14ac:dyDescent="0.3">
      <c r="A502" s="13"/>
      <c r="B502" s="16">
        <f>IF($A502=InvestorTable[[#This Row],[Investor Tally '#]],InvestorTable[[#This Row],[Investor Name]], NA())</f>
        <v>0</v>
      </c>
      <c r="C502" s="14"/>
      <c r="D502" s="17" t="e" cm="1">
        <f t="array" ref="D502">_xlfn.IFS(AND(InvestorTable[[#This Row],[Investor Tally '#]] = 'Payment Tracker'!$A502, 'Payment Tracker'!$C502="Dividend") = TRUE, InvestorTable[[#This Row],[Monthly ROI (₦)]], AND(InvestorTable[[#This Row],[Investor Tally '#]] = 'Payment Tracker'!$A502, 'Payment Tracker'!$C502="Capital") = TRUE, InvestorTable[[#This Row],[Investment Capital (₦)]], AND(InvestorTable[[#This Row],[Investor Tally '#]] = 'Payment Tracker'!$A502, 'Payment Tracker'!$C502="Refund") = TRUE, InvestorTable[[#This Row],[Investment Capital (₦)]] )</f>
        <v>#N/A</v>
      </c>
      <c r="E502" s="15"/>
      <c r="F502" s="14"/>
      <c r="G502" s="14"/>
      <c r="H502" s="14"/>
    </row>
    <row r="503" spans="1:8" x14ac:dyDescent="0.3">
      <c r="A503" s="13"/>
      <c r="B503" s="16">
        <f>IF($A503=InvestorTable[[#This Row],[Investor Tally '#]],InvestorTable[[#This Row],[Investor Name]], NA())</f>
        <v>0</v>
      </c>
      <c r="C503" s="14"/>
      <c r="D503" s="17" t="e" cm="1">
        <f t="array" ref="D503">_xlfn.IFS(AND(InvestorTable[[#This Row],[Investor Tally '#]] = 'Payment Tracker'!$A503, 'Payment Tracker'!$C503="Dividend") = TRUE, InvestorTable[[#This Row],[Monthly ROI (₦)]], AND(InvestorTable[[#This Row],[Investor Tally '#]] = 'Payment Tracker'!$A503, 'Payment Tracker'!$C503="Capital") = TRUE, InvestorTable[[#This Row],[Investment Capital (₦)]], AND(InvestorTable[[#This Row],[Investor Tally '#]] = 'Payment Tracker'!$A503, 'Payment Tracker'!$C503="Refund") = TRUE, InvestorTable[[#This Row],[Investment Capital (₦)]] )</f>
        <v>#N/A</v>
      </c>
      <c r="E503" s="15"/>
      <c r="F503" s="14"/>
      <c r="G503" s="14"/>
      <c r="H503" s="14"/>
    </row>
    <row r="504" spans="1:8" x14ac:dyDescent="0.3">
      <c r="A504" s="13"/>
      <c r="B504" s="16">
        <f>IF($A504=InvestorTable[[#This Row],[Investor Tally '#]],InvestorTable[[#This Row],[Investor Name]], NA())</f>
        <v>0</v>
      </c>
      <c r="C504" s="14"/>
      <c r="D504" s="17" t="e" cm="1">
        <f t="array" ref="D504">_xlfn.IFS(AND(InvestorTable[[#This Row],[Investor Tally '#]] = 'Payment Tracker'!$A504, 'Payment Tracker'!$C504="Dividend") = TRUE, InvestorTable[[#This Row],[Monthly ROI (₦)]], AND(InvestorTable[[#This Row],[Investor Tally '#]] = 'Payment Tracker'!$A504, 'Payment Tracker'!$C504="Capital") = TRUE, InvestorTable[[#This Row],[Investment Capital (₦)]], AND(InvestorTable[[#This Row],[Investor Tally '#]] = 'Payment Tracker'!$A504, 'Payment Tracker'!$C504="Refund") = TRUE, InvestorTable[[#This Row],[Investment Capital (₦)]] )</f>
        <v>#N/A</v>
      </c>
      <c r="E504" s="15"/>
      <c r="F504" s="14"/>
      <c r="G504" s="14"/>
      <c r="H504" s="14"/>
    </row>
    <row r="505" spans="1:8" x14ac:dyDescent="0.3">
      <c r="A505" s="13"/>
      <c r="B505" s="16">
        <f>IF($A505=InvestorTable[[#This Row],[Investor Tally '#]],InvestorTable[[#This Row],[Investor Name]], NA())</f>
        <v>0</v>
      </c>
      <c r="C505" s="14"/>
      <c r="D505" s="17" t="e" cm="1">
        <f t="array" ref="D505">_xlfn.IFS(AND(InvestorTable[[#This Row],[Investor Tally '#]] = 'Payment Tracker'!$A505, 'Payment Tracker'!$C505="Dividend") = TRUE, InvestorTable[[#This Row],[Monthly ROI (₦)]], AND(InvestorTable[[#This Row],[Investor Tally '#]] = 'Payment Tracker'!$A505, 'Payment Tracker'!$C505="Capital") = TRUE, InvestorTable[[#This Row],[Investment Capital (₦)]], AND(InvestorTable[[#This Row],[Investor Tally '#]] = 'Payment Tracker'!$A505, 'Payment Tracker'!$C505="Refund") = TRUE, InvestorTable[[#This Row],[Investment Capital (₦)]] )</f>
        <v>#N/A</v>
      </c>
      <c r="E505" s="15"/>
      <c r="F505" s="14"/>
      <c r="G505" s="14"/>
      <c r="H505" s="14"/>
    </row>
    <row r="506" spans="1:8" x14ac:dyDescent="0.3">
      <c r="A506" s="13"/>
      <c r="B506" s="16">
        <f>IF($A506=InvestorTable[[#This Row],[Investor Tally '#]],InvestorTable[[#This Row],[Investor Name]], NA())</f>
        <v>0</v>
      </c>
      <c r="C506" s="14"/>
      <c r="D506" s="17" t="e" cm="1">
        <f t="array" ref="D506">_xlfn.IFS(AND(InvestorTable[[#This Row],[Investor Tally '#]] = 'Payment Tracker'!$A506, 'Payment Tracker'!$C506="Dividend") = TRUE, InvestorTable[[#This Row],[Monthly ROI (₦)]], AND(InvestorTable[[#This Row],[Investor Tally '#]] = 'Payment Tracker'!$A506, 'Payment Tracker'!$C506="Capital") = TRUE, InvestorTable[[#This Row],[Investment Capital (₦)]], AND(InvestorTable[[#This Row],[Investor Tally '#]] = 'Payment Tracker'!$A506, 'Payment Tracker'!$C506="Refund") = TRUE, InvestorTable[[#This Row],[Investment Capital (₦)]] )</f>
        <v>#N/A</v>
      </c>
      <c r="E506" s="15"/>
      <c r="F506" s="14"/>
      <c r="G506" s="14"/>
      <c r="H506" s="14"/>
    </row>
    <row r="507" spans="1:8" x14ac:dyDescent="0.3">
      <c r="A507" s="13"/>
      <c r="B507" s="16">
        <f>IF($A507=InvestorTable[[#This Row],[Investor Tally '#]],InvestorTable[[#This Row],[Investor Name]], NA())</f>
        <v>0</v>
      </c>
      <c r="C507" s="14"/>
      <c r="D507" s="17" t="e" cm="1">
        <f t="array" ref="D507">_xlfn.IFS(AND(InvestorTable[[#This Row],[Investor Tally '#]] = 'Payment Tracker'!$A507, 'Payment Tracker'!$C507="Dividend") = TRUE, InvestorTable[[#This Row],[Monthly ROI (₦)]], AND(InvestorTable[[#This Row],[Investor Tally '#]] = 'Payment Tracker'!$A507, 'Payment Tracker'!$C507="Capital") = TRUE, InvestorTable[[#This Row],[Investment Capital (₦)]], AND(InvestorTable[[#This Row],[Investor Tally '#]] = 'Payment Tracker'!$A507, 'Payment Tracker'!$C507="Refund") = TRUE, InvestorTable[[#This Row],[Investment Capital (₦)]] )</f>
        <v>#N/A</v>
      </c>
      <c r="E507" s="15"/>
      <c r="F507" s="14"/>
      <c r="G507" s="14"/>
      <c r="H507" s="14"/>
    </row>
    <row r="508" spans="1:8" x14ac:dyDescent="0.3">
      <c r="A508" s="13"/>
      <c r="B508" s="16">
        <f>IF($A508=InvestorTable[[#This Row],[Investor Tally '#]],InvestorTable[[#This Row],[Investor Name]], NA())</f>
        <v>0</v>
      </c>
      <c r="C508" s="14"/>
      <c r="D508" s="17" t="e" cm="1">
        <f t="array" ref="D508">_xlfn.IFS(AND(InvestorTable[[#This Row],[Investor Tally '#]] = 'Payment Tracker'!$A508, 'Payment Tracker'!$C508="Dividend") = TRUE, InvestorTable[[#This Row],[Monthly ROI (₦)]], AND(InvestorTable[[#This Row],[Investor Tally '#]] = 'Payment Tracker'!$A508, 'Payment Tracker'!$C508="Capital") = TRUE, InvestorTable[[#This Row],[Investment Capital (₦)]], AND(InvestorTable[[#This Row],[Investor Tally '#]] = 'Payment Tracker'!$A508, 'Payment Tracker'!$C508="Refund") = TRUE, InvestorTable[[#This Row],[Investment Capital (₦)]] )</f>
        <v>#N/A</v>
      </c>
      <c r="E508" s="15"/>
      <c r="F508" s="14"/>
      <c r="G508" s="14"/>
      <c r="H508" s="14"/>
    </row>
    <row r="509" spans="1:8" x14ac:dyDescent="0.3">
      <c r="A509" s="13"/>
      <c r="B509" s="16">
        <f>IF($A509=InvestorTable[[#This Row],[Investor Tally '#]],InvestorTable[[#This Row],[Investor Name]], NA())</f>
        <v>0</v>
      </c>
      <c r="C509" s="14"/>
      <c r="D509" s="17" t="e" cm="1">
        <f t="array" ref="D509">_xlfn.IFS(AND(InvestorTable[[#This Row],[Investor Tally '#]] = 'Payment Tracker'!$A509, 'Payment Tracker'!$C509="Dividend") = TRUE, InvestorTable[[#This Row],[Monthly ROI (₦)]], AND(InvestorTable[[#This Row],[Investor Tally '#]] = 'Payment Tracker'!$A509, 'Payment Tracker'!$C509="Capital") = TRUE, InvestorTable[[#This Row],[Investment Capital (₦)]], AND(InvestorTable[[#This Row],[Investor Tally '#]] = 'Payment Tracker'!$A509, 'Payment Tracker'!$C509="Refund") = TRUE, InvestorTable[[#This Row],[Investment Capital (₦)]] )</f>
        <v>#N/A</v>
      </c>
      <c r="E509" s="15"/>
      <c r="F509" s="14"/>
      <c r="G509" s="14"/>
      <c r="H509" s="14"/>
    </row>
    <row r="510" spans="1:8" x14ac:dyDescent="0.3">
      <c r="A510" s="13"/>
      <c r="B510" s="16">
        <f>IF($A510=InvestorTable[[#This Row],[Investor Tally '#]],InvestorTable[[#This Row],[Investor Name]], NA())</f>
        <v>0</v>
      </c>
      <c r="C510" s="14"/>
      <c r="D510" s="17" t="e" cm="1">
        <f t="array" ref="D510">_xlfn.IFS(AND(InvestorTable[[#This Row],[Investor Tally '#]] = 'Payment Tracker'!$A510, 'Payment Tracker'!$C510="Dividend") = TRUE, InvestorTable[[#This Row],[Monthly ROI (₦)]], AND(InvestorTable[[#This Row],[Investor Tally '#]] = 'Payment Tracker'!$A510, 'Payment Tracker'!$C510="Capital") = TRUE, InvestorTable[[#This Row],[Investment Capital (₦)]], AND(InvestorTable[[#This Row],[Investor Tally '#]] = 'Payment Tracker'!$A510, 'Payment Tracker'!$C510="Refund") = TRUE, InvestorTable[[#This Row],[Investment Capital (₦)]] )</f>
        <v>#N/A</v>
      </c>
      <c r="E510" s="15"/>
      <c r="F510" s="14"/>
      <c r="G510" s="14"/>
      <c r="H510" s="14"/>
    </row>
    <row r="511" spans="1:8" x14ac:dyDescent="0.3">
      <c r="A511" s="13"/>
      <c r="B511" s="16">
        <f>IF($A511=InvestorTable[[#This Row],[Investor Tally '#]],InvestorTable[[#This Row],[Investor Name]], NA())</f>
        <v>0</v>
      </c>
      <c r="C511" s="14"/>
      <c r="D511" s="17" t="e" cm="1">
        <f t="array" ref="D511">_xlfn.IFS(AND(InvestorTable[[#This Row],[Investor Tally '#]] = 'Payment Tracker'!$A511, 'Payment Tracker'!$C511="Dividend") = TRUE, InvestorTable[[#This Row],[Monthly ROI (₦)]], AND(InvestorTable[[#This Row],[Investor Tally '#]] = 'Payment Tracker'!$A511, 'Payment Tracker'!$C511="Capital") = TRUE, InvestorTable[[#This Row],[Investment Capital (₦)]], AND(InvestorTable[[#This Row],[Investor Tally '#]] = 'Payment Tracker'!$A511, 'Payment Tracker'!$C511="Refund") = TRUE, InvestorTable[[#This Row],[Investment Capital (₦)]] )</f>
        <v>#N/A</v>
      </c>
      <c r="E511" s="15"/>
      <c r="F511" s="14"/>
      <c r="G511" s="14"/>
      <c r="H511" s="14"/>
    </row>
    <row r="512" spans="1:8" x14ac:dyDescent="0.3">
      <c r="A512" s="13"/>
      <c r="B512" s="16">
        <f>IF($A512=InvestorTable[[#This Row],[Investor Tally '#]],InvestorTable[[#This Row],[Investor Name]], NA())</f>
        <v>0</v>
      </c>
      <c r="C512" s="14"/>
      <c r="D512" s="17" t="e" cm="1">
        <f t="array" ref="D512">_xlfn.IFS(AND(InvestorTable[[#This Row],[Investor Tally '#]] = 'Payment Tracker'!$A512, 'Payment Tracker'!$C512="Dividend") = TRUE, InvestorTable[[#This Row],[Monthly ROI (₦)]], AND(InvestorTable[[#This Row],[Investor Tally '#]] = 'Payment Tracker'!$A512, 'Payment Tracker'!$C512="Capital") = TRUE, InvestorTable[[#This Row],[Investment Capital (₦)]], AND(InvestorTable[[#This Row],[Investor Tally '#]] = 'Payment Tracker'!$A512, 'Payment Tracker'!$C512="Refund") = TRUE, InvestorTable[[#This Row],[Investment Capital (₦)]] )</f>
        <v>#N/A</v>
      </c>
      <c r="E512" s="15"/>
      <c r="F512" s="14"/>
      <c r="G512" s="14"/>
      <c r="H512" s="14"/>
    </row>
    <row r="513" spans="1:8" x14ac:dyDescent="0.3">
      <c r="A513" s="13"/>
      <c r="B513" s="16">
        <f>IF($A513=InvestorTable[[#This Row],[Investor Tally '#]],InvestorTable[[#This Row],[Investor Name]], NA())</f>
        <v>0</v>
      </c>
      <c r="C513" s="14"/>
      <c r="D513" s="17" t="e" cm="1">
        <f t="array" ref="D513">_xlfn.IFS(AND(InvestorTable[[#This Row],[Investor Tally '#]] = 'Payment Tracker'!$A513, 'Payment Tracker'!$C513="Dividend") = TRUE, InvestorTable[[#This Row],[Monthly ROI (₦)]], AND(InvestorTable[[#This Row],[Investor Tally '#]] = 'Payment Tracker'!$A513, 'Payment Tracker'!$C513="Capital") = TRUE, InvestorTable[[#This Row],[Investment Capital (₦)]], AND(InvestorTable[[#This Row],[Investor Tally '#]] = 'Payment Tracker'!$A513, 'Payment Tracker'!$C513="Refund") = TRUE, InvestorTable[[#This Row],[Investment Capital (₦)]] )</f>
        <v>#N/A</v>
      </c>
      <c r="E513" s="15"/>
      <c r="F513" s="14"/>
      <c r="G513" s="14"/>
      <c r="H513" s="14"/>
    </row>
    <row r="514" spans="1:8" x14ac:dyDescent="0.3">
      <c r="A514" s="13"/>
      <c r="B514" s="16">
        <f>IF($A514=InvestorTable[[#This Row],[Investor Tally '#]],InvestorTable[[#This Row],[Investor Name]], NA())</f>
        <v>0</v>
      </c>
      <c r="C514" s="14"/>
      <c r="D514" s="17" t="e" cm="1">
        <f t="array" ref="D514">_xlfn.IFS(AND(InvestorTable[[#This Row],[Investor Tally '#]] = 'Payment Tracker'!$A514, 'Payment Tracker'!$C514="Dividend") = TRUE, InvestorTable[[#This Row],[Monthly ROI (₦)]], AND(InvestorTable[[#This Row],[Investor Tally '#]] = 'Payment Tracker'!$A514, 'Payment Tracker'!$C514="Capital") = TRUE, InvestorTable[[#This Row],[Investment Capital (₦)]], AND(InvestorTable[[#This Row],[Investor Tally '#]] = 'Payment Tracker'!$A514, 'Payment Tracker'!$C514="Refund") = TRUE, InvestorTable[[#This Row],[Investment Capital (₦)]] )</f>
        <v>#N/A</v>
      </c>
      <c r="E514" s="15"/>
      <c r="F514" s="14"/>
      <c r="G514" s="14"/>
      <c r="H514" s="14"/>
    </row>
    <row r="515" spans="1:8" x14ac:dyDescent="0.3">
      <c r="A515" s="13"/>
      <c r="B515" s="16">
        <f>IF($A515=InvestorTable[[#This Row],[Investor Tally '#]],InvestorTable[[#This Row],[Investor Name]], NA())</f>
        <v>0</v>
      </c>
      <c r="C515" s="14"/>
      <c r="D515" s="17" t="e" cm="1">
        <f t="array" ref="D515">_xlfn.IFS(AND(InvestorTable[[#This Row],[Investor Tally '#]] = 'Payment Tracker'!$A515, 'Payment Tracker'!$C515="Dividend") = TRUE, InvestorTable[[#This Row],[Monthly ROI (₦)]], AND(InvestorTable[[#This Row],[Investor Tally '#]] = 'Payment Tracker'!$A515, 'Payment Tracker'!$C515="Capital") = TRUE, InvestorTable[[#This Row],[Investment Capital (₦)]], AND(InvestorTable[[#This Row],[Investor Tally '#]] = 'Payment Tracker'!$A515, 'Payment Tracker'!$C515="Refund") = TRUE, InvestorTable[[#This Row],[Investment Capital (₦)]] )</f>
        <v>#N/A</v>
      </c>
      <c r="E515" s="15"/>
      <c r="F515" s="14"/>
      <c r="G515" s="14"/>
      <c r="H515" s="14"/>
    </row>
    <row r="516" spans="1:8" x14ac:dyDescent="0.3">
      <c r="A516" s="13"/>
      <c r="B516" s="16">
        <f>IF($A516=InvestorTable[[#This Row],[Investor Tally '#]],InvestorTable[[#This Row],[Investor Name]], NA())</f>
        <v>0</v>
      </c>
      <c r="C516" s="14"/>
      <c r="D516" s="17" t="e" cm="1">
        <f t="array" ref="D516">_xlfn.IFS(AND(InvestorTable[[#This Row],[Investor Tally '#]] = 'Payment Tracker'!$A516, 'Payment Tracker'!$C516="Dividend") = TRUE, InvestorTable[[#This Row],[Monthly ROI (₦)]], AND(InvestorTable[[#This Row],[Investor Tally '#]] = 'Payment Tracker'!$A516, 'Payment Tracker'!$C516="Capital") = TRUE, InvestorTable[[#This Row],[Investment Capital (₦)]], AND(InvestorTable[[#This Row],[Investor Tally '#]] = 'Payment Tracker'!$A516, 'Payment Tracker'!$C516="Refund") = TRUE, InvestorTable[[#This Row],[Investment Capital (₦)]] )</f>
        <v>#N/A</v>
      </c>
      <c r="E516" s="15"/>
      <c r="F516" s="14"/>
      <c r="G516" s="14"/>
      <c r="H516" s="14"/>
    </row>
    <row r="517" spans="1:8" x14ac:dyDescent="0.3">
      <c r="A517" s="13"/>
      <c r="B517" s="16">
        <f>IF($A517=InvestorTable[[#This Row],[Investor Tally '#]],InvestorTable[[#This Row],[Investor Name]], NA())</f>
        <v>0</v>
      </c>
      <c r="C517" s="14"/>
      <c r="D517" s="17" t="e" cm="1">
        <f t="array" ref="D517">_xlfn.IFS(AND(InvestorTable[[#This Row],[Investor Tally '#]] = 'Payment Tracker'!$A517, 'Payment Tracker'!$C517="Dividend") = TRUE, InvestorTable[[#This Row],[Monthly ROI (₦)]], AND(InvestorTable[[#This Row],[Investor Tally '#]] = 'Payment Tracker'!$A517, 'Payment Tracker'!$C517="Capital") = TRUE, InvestorTable[[#This Row],[Investment Capital (₦)]], AND(InvestorTable[[#This Row],[Investor Tally '#]] = 'Payment Tracker'!$A517, 'Payment Tracker'!$C517="Refund") = TRUE, InvestorTable[[#This Row],[Investment Capital (₦)]] )</f>
        <v>#N/A</v>
      </c>
      <c r="E517" s="15"/>
      <c r="F517" s="14"/>
      <c r="G517" s="14"/>
      <c r="H517" s="14"/>
    </row>
    <row r="518" spans="1:8" x14ac:dyDescent="0.3">
      <c r="A518" s="13"/>
      <c r="B518" s="16">
        <f>IF($A518=InvestorTable[[#This Row],[Investor Tally '#]],InvestorTable[[#This Row],[Investor Name]], NA())</f>
        <v>0</v>
      </c>
      <c r="C518" s="14"/>
      <c r="D518" s="17" t="e" cm="1">
        <f t="array" ref="D518">_xlfn.IFS(AND(InvestorTable[[#This Row],[Investor Tally '#]] = 'Payment Tracker'!$A518, 'Payment Tracker'!$C518="Dividend") = TRUE, InvestorTable[[#This Row],[Monthly ROI (₦)]], AND(InvestorTable[[#This Row],[Investor Tally '#]] = 'Payment Tracker'!$A518, 'Payment Tracker'!$C518="Capital") = TRUE, InvestorTable[[#This Row],[Investment Capital (₦)]], AND(InvestorTable[[#This Row],[Investor Tally '#]] = 'Payment Tracker'!$A518, 'Payment Tracker'!$C518="Refund") = TRUE, InvestorTable[[#This Row],[Investment Capital (₦)]] )</f>
        <v>#N/A</v>
      </c>
      <c r="E518" s="15"/>
      <c r="F518" s="14"/>
      <c r="G518" s="14"/>
      <c r="H518" s="14"/>
    </row>
    <row r="519" spans="1:8" x14ac:dyDescent="0.3">
      <c r="A519" s="13"/>
      <c r="B519" s="16">
        <f>IF($A519=InvestorTable[[#This Row],[Investor Tally '#]],InvestorTable[[#This Row],[Investor Name]], NA())</f>
        <v>0</v>
      </c>
      <c r="C519" s="14"/>
      <c r="D519" s="17" t="e" cm="1">
        <f t="array" ref="D519">_xlfn.IFS(AND(InvestorTable[[#This Row],[Investor Tally '#]] = 'Payment Tracker'!$A519, 'Payment Tracker'!$C519="Dividend") = TRUE, InvestorTable[[#This Row],[Monthly ROI (₦)]], AND(InvestorTable[[#This Row],[Investor Tally '#]] = 'Payment Tracker'!$A519, 'Payment Tracker'!$C519="Capital") = TRUE, InvestorTable[[#This Row],[Investment Capital (₦)]], AND(InvestorTable[[#This Row],[Investor Tally '#]] = 'Payment Tracker'!$A519, 'Payment Tracker'!$C519="Refund") = TRUE, InvestorTable[[#This Row],[Investment Capital (₦)]] )</f>
        <v>#N/A</v>
      </c>
      <c r="E519" s="15"/>
      <c r="F519" s="14"/>
      <c r="G519" s="14"/>
      <c r="H519" s="14"/>
    </row>
    <row r="520" spans="1:8" x14ac:dyDescent="0.3">
      <c r="A520" s="13"/>
      <c r="B520" s="16">
        <f>IF($A520=InvestorTable[[#This Row],[Investor Tally '#]],InvestorTable[[#This Row],[Investor Name]], NA())</f>
        <v>0</v>
      </c>
      <c r="C520" s="14"/>
      <c r="D520" s="17" t="e" cm="1">
        <f t="array" ref="D520">_xlfn.IFS(AND(InvestorTable[[#This Row],[Investor Tally '#]] = 'Payment Tracker'!$A520, 'Payment Tracker'!$C520="Dividend") = TRUE, InvestorTable[[#This Row],[Monthly ROI (₦)]], AND(InvestorTable[[#This Row],[Investor Tally '#]] = 'Payment Tracker'!$A520, 'Payment Tracker'!$C520="Capital") = TRUE, InvestorTable[[#This Row],[Investment Capital (₦)]], AND(InvestorTable[[#This Row],[Investor Tally '#]] = 'Payment Tracker'!$A520, 'Payment Tracker'!$C520="Refund") = TRUE, InvestorTable[[#This Row],[Investment Capital (₦)]] )</f>
        <v>#N/A</v>
      </c>
      <c r="E520" s="15"/>
      <c r="F520" s="14"/>
      <c r="G520" s="14"/>
      <c r="H520" s="14"/>
    </row>
    <row r="521" spans="1:8" x14ac:dyDescent="0.3">
      <c r="A521" s="13"/>
      <c r="B521" s="16">
        <f>IF($A521=InvestorTable[[#This Row],[Investor Tally '#]],InvestorTable[[#This Row],[Investor Name]], NA())</f>
        <v>0</v>
      </c>
      <c r="C521" s="14"/>
      <c r="D521" s="17" t="e" cm="1">
        <f t="array" ref="D521">_xlfn.IFS(AND(InvestorTable[[#This Row],[Investor Tally '#]] = 'Payment Tracker'!$A521, 'Payment Tracker'!$C521="Dividend") = TRUE, InvestorTable[[#This Row],[Monthly ROI (₦)]], AND(InvestorTable[[#This Row],[Investor Tally '#]] = 'Payment Tracker'!$A521, 'Payment Tracker'!$C521="Capital") = TRUE, InvestorTable[[#This Row],[Investment Capital (₦)]], AND(InvestorTable[[#This Row],[Investor Tally '#]] = 'Payment Tracker'!$A521, 'Payment Tracker'!$C521="Refund") = TRUE, InvestorTable[[#This Row],[Investment Capital (₦)]] )</f>
        <v>#N/A</v>
      </c>
      <c r="E521" s="15"/>
      <c r="F521" s="14"/>
      <c r="G521" s="14"/>
      <c r="H521" s="14"/>
    </row>
    <row r="522" spans="1:8" x14ac:dyDescent="0.3">
      <c r="A522" s="13"/>
      <c r="B522" s="16">
        <f>IF($A522=InvestorTable[[#This Row],[Investor Tally '#]],InvestorTable[[#This Row],[Investor Name]], NA())</f>
        <v>0</v>
      </c>
      <c r="C522" s="14"/>
      <c r="D522" s="17" t="e" cm="1">
        <f t="array" ref="D522">_xlfn.IFS(AND(InvestorTable[[#This Row],[Investor Tally '#]] = 'Payment Tracker'!$A522, 'Payment Tracker'!$C522="Dividend") = TRUE, InvestorTable[[#This Row],[Monthly ROI (₦)]], AND(InvestorTable[[#This Row],[Investor Tally '#]] = 'Payment Tracker'!$A522, 'Payment Tracker'!$C522="Capital") = TRUE, InvestorTable[[#This Row],[Investment Capital (₦)]], AND(InvestorTable[[#This Row],[Investor Tally '#]] = 'Payment Tracker'!$A522, 'Payment Tracker'!$C522="Refund") = TRUE, InvestorTable[[#This Row],[Investment Capital (₦)]] )</f>
        <v>#N/A</v>
      </c>
      <c r="E522" s="15"/>
      <c r="F522" s="14"/>
      <c r="G522" s="14"/>
      <c r="H522" s="14"/>
    </row>
    <row r="523" spans="1:8" x14ac:dyDescent="0.3">
      <c r="A523" s="13"/>
      <c r="B523" s="16">
        <f>IF($A523=InvestorTable[[#This Row],[Investor Tally '#]],InvestorTable[[#This Row],[Investor Name]], NA())</f>
        <v>0</v>
      </c>
      <c r="C523" s="14"/>
      <c r="D523" s="17" t="e" cm="1">
        <f t="array" ref="D523">_xlfn.IFS(AND(InvestorTable[[#This Row],[Investor Tally '#]] = 'Payment Tracker'!$A523, 'Payment Tracker'!$C523="Dividend") = TRUE, InvestorTable[[#This Row],[Monthly ROI (₦)]], AND(InvestorTable[[#This Row],[Investor Tally '#]] = 'Payment Tracker'!$A523, 'Payment Tracker'!$C523="Capital") = TRUE, InvestorTable[[#This Row],[Investment Capital (₦)]], AND(InvestorTable[[#This Row],[Investor Tally '#]] = 'Payment Tracker'!$A523, 'Payment Tracker'!$C523="Refund") = TRUE, InvestorTable[[#This Row],[Investment Capital (₦)]] )</f>
        <v>#N/A</v>
      </c>
      <c r="E523" s="15"/>
      <c r="F523" s="14"/>
      <c r="G523" s="14"/>
      <c r="H523" s="14"/>
    </row>
    <row r="524" spans="1:8" x14ac:dyDescent="0.3">
      <c r="A524" s="13"/>
      <c r="B524" s="16">
        <f>IF($A524=InvestorTable[[#This Row],[Investor Tally '#]],InvestorTable[[#This Row],[Investor Name]], NA())</f>
        <v>0</v>
      </c>
      <c r="C524" s="14"/>
      <c r="D524" s="17" t="e" cm="1">
        <f t="array" ref="D524">_xlfn.IFS(AND(InvestorTable[[#This Row],[Investor Tally '#]] = 'Payment Tracker'!$A524, 'Payment Tracker'!$C524="Dividend") = TRUE, InvestorTable[[#This Row],[Monthly ROI (₦)]], AND(InvestorTable[[#This Row],[Investor Tally '#]] = 'Payment Tracker'!$A524, 'Payment Tracker'!$C524="Capital") = TRUE, InvestorTable[[#This Row],[Investment Capital (₦)]], AND(InvestorTable[[#This Row],[Investor Tally '#]] = 'Payment Tracker'!$A524, 'Payment Tracker'!$C524="Refund") = TRUE, InvestorTable[[#This Row],[Investment Capital (₦)]] )</f>
        <v>#N/A</v>
      </c>
      <c r="E524" s="15"/>
      <c r="F524" s="14"/>
      <c r="G524" s="14"/>
      <c r="H524" s="14"/>
    </row>
    <row r="525" spans="1:8" x14ac:dyDescent="0.3">
      <c r="A525" s="13"/>
      <c r="B525" s="16">
        <f>IF($A525=InvestorTable[[#This Row],[Investor Tally '#]],InvestorTable[[#This Row],[Investor Name]], NA())</f>
        <v>0</v>
      </c>
      <c r="C525" s="14"/>
      <c r="D525" s="17" t="e" cm="1">
        <f t="array" ref="D525">_xlfn.IFS(AND(InvestorTable[[#This Row],[Investor Tally '#]] = 'Payment Tracker'!$A525, 'Payment Tracker'!$C525="Dividend") = TRUE, InvestorTable[[#This Row],[Monthly ROI (₦)]], AND(InvestorTable[[#This Row],[Investor Tally '#]] = 'Payment Tracker'!$A525, 'Payment Tracker'!$C525="Capital") = TRUE, InvestorTable[[#This Row],[Investment Capital (₦)]], AND(InvestorTable[[#This Row],[Investor Tally '#]] = 'Payment Tracker'!$A525, 'Payment Tracker'!$C525="Refund") = TRUE, InvestorTable[[#This Row],[Investment Capital (₦)]] )</f>
        <v>#N/A</v>
      </c>
      <c r="E525" s="15"/>
      <c r="F525" s="14"/>
      <c r="G525" s="14"/>
      <c r="H525" s="14"/>
    </row>
    <row r="526" spans="1:8" x14ac:dyDescent="0.3">
      <c r="A526" s="13"/>
      <c r="B526" s="16">
        <f>IF($A526=InvestorTable[[#This Row],[Investor Tally '#]],InvestorTable[[#This Row],[Investor Name]], NA())</f>
        <v>0</v>
      </c>
      <c r="C526" s="14"/>
      <c r="D526" s="17" t="e" cm="1">
        <f t="array" ref="D526">_xlfn.IFS(AND(InvestorTable[[#This Row],[Investor Tally '#]] = 'Payment Tracker'!$A526, 'Payment Tracker'!$C526="Dividend") = TRUE, InvestorTable[[#This Row],[Monthly ROI (₦)]], AND(InvestorTable[[#This Row],[Investor Tally '#]] = 'Payment Tracker'!$A526, 'Payment Tracker'!$C526="Capital") = TRUE, InvestorTable[[#This Row],[Investment Capital (₦)]], AND(InvestorTable[[#This Row],[Investor Tally '#]] = 'Payment Tracker'!$A526, 'Payment Tracker'!$C526="Refund") = TRUE, InvestorTable[[#This Row],[Investment Capital (₦)]] )</f>
        <v>#N/A</v>
      </c>
      <c r="E526" s="15"/>
      <c r="F526" s="14"/>
      <c r="G526" s="14"/>
      <c r="H526" s="14"/>
    </row>
    <row r="527" spans="1:8" x14ac:dyDescent="0.3">
      <c r="A527" s="13"/>
      <c r="B527" s="16">
        <f>IF($A527=InvestorTable[[#This Row],[Investor Tally '#]],InvestorTable[[#This Row],[Investor Name]], NA())</f>
        <v>0</v>
      </c>
      <c r="C527" s="14"/>
      <c r="D527" s="17" t="e" cm="1">
        <f t="array" ref="D527">_xlfn.IFS(AND(InvestorTable[[#This Row],[Investor Tally '#]] = 'Payment Tracker'!$A527, 'Payment Tracker'!$C527="Dividend") = TRUE, InvestorTable[[#This Row],[Monthly ROI (₦)]], AND(InvestorTable[[#This Row],[Investor Tally '#]] = 'Payment Tracker'!$A527, 'Payment Tracker'!$C527="Capital") = TRUE, InvestorTable[[#This Row],[Investment Capital (₦)]], AND(InvestorTable[[#This Row],[Investor Tally '#]] = 'Payment Tracker'!$A527, 'Payment Tracker'!$C527="Refund") = TRUE, InvestorTable[[#This Row],[Investment Capital (₦)]] )</f>
        <v>#N/A</v>
      </c>
      <c r="E527" s="15"/>
      <c r="F527" s="14"/>
      <c r="G527" s="14"/>
      <c r="H527" s="14"/>
    </row>
    <row r="528" spans="1:8" x14ac:dyDescent="0.3">
      <c r="A528" s="13"/>
      <c r="B528" s="16">
        <f>IF($A528=InvestorTable[[#This Row],[Investor Tally '#]],InvestorTable[[#This Row],[Investor Name]], NA())</f>
        <v>0</v>
      </c>
      <c r="C528" s="14"/>
      <c r="D528" s="17" t="e" cm="1">
        <f t="array" ref="D528">_xlfn.IFS(AND(InvestorTable[[#This Row],[Investor Tally '#]] = 'Payment Tracker'!$A528, 'Payment Tracker'!$C528="Dividend") = TRUE, InvestorTable[[#This Row],[Monthly ROI (₦)]], AND(InvestorTable[[#This Row],[Investor Tally '#]] = 'Payment Tracker'!$A528, 'Payment Tracker'!$C528="Capital") = TRUE, InvestorTable[[#This Row],[Investment Capital (₦)]], AND(InvestorTable[[#This Row],[Investor Tally '#]] = 'Payment Tracker'!$A528, 'Payment Tracker'!$C528="Refund") = TRUE, InvestorTable[[#This Row],[Investment Capital (₦)]] )</f>
        <v>#N/A</v>
      </c>
      <c r="E528" s="15"/>
      <c r="F528" s="14"/>
      <c r="G528" s="14"/>
      <c r="H528" s="14"/>
    </row>
    <row r="529" spans="1:8" x14ac:dyDescent="0.3">
      <c r="A529" s="13"/>
      <c r="B529" s="16">
        <f>IF($A529=InvestorTable[[#This Row],[Investor Tally '#]],InvestorTable[[#This Row],[Investor Name]], NA())</f>
        <v>0</v>
      </c>
      <c r="C529" s="14"/>
      <c r="D529" s="17" t="e" cm="1">
        <f t="array" ref="D529">_xlfn.IFS(AND(InvestorTable[[#This Row],[Investor Tally '#]] = 'Payment Tracker'!$A529, 'Payment Tracker'!$C529="Dividend") = TRUE, InvestorTable[[#This Row],[Monthly ROI (₦)]], AND(InvestorTable[[#This Row],[Investor Tally '#]] = 'Payment Tracker'!$A529, 'Payment Tracker'!$C529="Capital") = TRUE, InvestorTable[[#This Row],[Investment Capital (₦)]], AND(InvestorTable[[#This Row],[Investor Tally '#]] = 'Payment Tracker'!$A529, 'Payment Tracker'!$C529="Refund") = TRUE, InvestorTable[[#This Row],[Investment Capital (₦)]] )</f>
        <v>#N/A</v>
      </c>
      <c r="E529" s="15"/>
      <c r="F529" s="14"/>
      <c r="G529" s="14"/>
      <c r="H529" s="14"/>
    </row>
    <row r="530" spans="1:8" x14ac:dyDescent="0.3">
      <c r="A530" s="13"/>
      <c r="B530" s="16">
        <f>IF($A530=InvestorTable[[#This Row],[Investor Tally '#]],InvestorTable[[#This Row],[Investor Name]], NA())</f>
        <v>0</v>
      </c>
      <c r="C530" s="14"/>
      <c r="D530" s="17" t="e" cm="1">
        <f t="array" ref="D530">_xlfn.IFS(AND(InvestorTable[[#This Row],[Investor Tally '#]] = 'Payment Tracker'!$A530, 'Payment Tracker'!$C530="Dividend") = TRUE, InvestorTable[[#This Row],[Monthly ROI (₦)]], AND(InvestorTable[[#This Row],[Investor Tally '#]] = 'Payment Tracker'!$A530, 'Payment Tracker'!$C530="Capital") = TRUE, InvestorTable[[#This Row],[Investment Capital (₦)]], AND(InvestorTable[[#This Row],[Investor Tally '#]] = 'Payment Tracker'!$A530, 'Payment Tracker'!$C530="Refund") = TRUE, InvestorTable[[#This Row],[Investment Capital (₦)]] )</f>
        <v>#N/A</v>
      </c>
      <c r="E530" s="15"/>
      <c r="F530" s="14"/>
      <c r="G530" s="14"/>
      <c r="H530" s="14"/>
    </row>
    <row r="531" spans="1:8" x14ac:dyDescent="0.3">
      <c r="A531" s="13"/>
      <c r="B531" s="16">
        <f>IF($A531=InvestorTable[[#This Row],[Investor Tally '#]],InvestorTable[[#This Row],[Investor Name]], NA())</f>
        <v>0</v>
      </c>
      <c r="C531" s="14"/>
      <c r="D531" s="17" t="e" cm="1">
        <f t="array" ref="D531">_xlfn.IFS(AND(InvestorTable[[#This Row],[Investor Tally '#]] = 'Payment Tracker'!$A531, 'Payment Tracker'!$C531="Dividend") = TRUE, InvestorTable[[#This Row],[Monthly ROI (₦)]], AND(InvestorTable[[#This Row],[Investor Tally '#]] = 'Payment Tracker'!$A531, 'Payment Tracker'!$C531="Capital") = TRUE, InvestorTable[[#This Row],[Investment Capital (₦)]], AND(InvestorTable[[#This Row],[Investor Tally '#]] = 'Payment Tracker'!$A531, 'Payment Tracker'!$C531="Refund") = TRUE, InvestorTable[[#This Row],[Investment Capital (₦)]] )</f>
        <v>#N/A</v>
      </c>
      <c r="E531" s="15"/>
      <c r="F531" s="14"/>
      <c r="G531" s="14"/>
      <c r="H531" s="14"/>
    </row>
    <row r="532" spans="1:8" x14ac:dyDescent="0.3">
      <c r="A532" s="13"/>
      <c r="B532" s="16">
        <f>IF($A532=InvestorTable[[#This Row],[Investor Tally '#]],InvestorTable[[#This Row],[Investor Name]], NA())</f>
        <v>0</v>
      </c>
      <c r="C532" s="14"/>
      <c r="D532" s="17" t="e" cm="1">
        <f t="array" ref="D532">_xlfn.IFS(AND(InvestorTable[[#This Row],[Investor Tally '#]] = 'Payment Tracker'!$A532, 'Payment Tracker'!$C532="Dividend") = TRUE, InvestorTable[[#This Row],[Monthly ROI (₦)]], AND(InvestorTable[[#This Row],[Investor Tally '#]] = 'Payment Tracker'!$A532, 'Payment Tracker'!$C532="Capital") = TRUE, InvestorTable[[#This Row],[Investment Capital (₦)]], AND(InvestorTable[[#This Row],[Investor Tally '#]] = 'Payment Tracker'!$A532, 'Payment Tracker'!$C532="Refund") = TRUE, InvestorTable[[#This Row],[Investment Capital (₦)]] )</f>
        <v>#N/A</v>
      </c>
      <c r="E532" s="15"/>
      <c r="F532" s="14"/>
      <c r="G532" s="14"/>
      <c r="H532" s="14"/>
    </row>
    <row r="533" spans="1:8" x14ac:dyDescent="0.3">
      <c r="A533" s="13"/>
      <c r="B533" s="16">
        <f>IF($A533=InvestorTable[[#This Row],[Investor Tally '#]],InvestorTable[[#This Row],[Investor Name]], NA())</f>
        <v>0</v>
      </c>
      <c r="C533" s="14"/>
      <c r="D533" s="17" t="e" cm="1">
        <f t="array" ref="D533">_xlfn.IFS(AND(InvestorTable[[#This Row],[Investor Tally '#]] = 'Payment Tracker'!$A533, 'Payment Tracker'!$C533="Dividend") = TRUE, InvestorTable[[#This Row],[Monthly ROI (₦)]], AND(InvestorTable[[#This Row],[Investor Tally '#]] = 'Payment Tracker'!$A533, 'Payment Tracker'!$C533="Capital") = TRUE, InvestorTable[[#This Row],[Investment Capital (₦)]], AND(InvestorTable[[#This Row],[Investor Tally '#]] = 'Payment Tracker'!$A533, 'Payment Tracker'!$C533="Refund") = TRUE, InvestorTable[[#This Row],[Investment Capital (₦)]] )</f>
        <v>#N/A</v>
      </c>
      <c r="E533" s="15"/>
      <c r="F533" s="14"/>
      <c r="G533" s="14"/>
      <c r="H533" s="14"/>
    </row>
    <row r="534" spans="1:8" x14ac:dyDescent="0.3">
      <c r="A534" s="13"/>
      <c r="B534" s="16">
        <f>IF($A534=InvestorTable[[#This Row],[Investor Tally '#]],InvestorTable[[#This Row],[Investor Name]], NA())</f>
        <v>0</v>
      </c>
      <c r="C534" s="14"/>
      <c r="D534" s="17" t="e" cm="1">
        <f t="array" ref="D534">_xlfn.IFS(AND(InvestorTable[[#This Row],[Investor Tally '#]] = 'Payment Tracker'!$A534, 'Payment Tracker'!$C534="Dividend") = TRUE, InvestorTable[[#This Row],[Monthly ROI (₦)]], AND(InvestorTable[[#This Row],[Investor Tally '#]] = 'Payment Tracker'!$A534, 'Payment Tracker'!$C534="Capital") = TRUE, InvestorTable[[#This Row],[Investment Capital (₦)]], AND(InvestorTable[[#This Row],[Investor Tally '#]] = 'Payment Tracker'!$A534, 'Payment Tracker'!$C534="Refund") = TRUE, InvestorTable[[#This Row],[Investment Capital (₦)]] )</f>
        <v>#N/A</v>
      </c>
      <c r="E534" s="15"/>
      <c r="F534" s="14"/>
      <c r="G534" s="14"/>
      <c r="H534" s="14"/>
    </row>
    <row r="535" spans="1:8" x14ac:dyDescent="0.3">
      <c r="A535" s="13"/>
      <c r="B535" s="16">
        <f>IF($A535=InvestorTable[[#This Row],[Investor Tally '#]],InvestorTable[[#This Row],[Investor Name]], NA())</f>
        <v>0</v>
      </c>
      <c r="C535" s="14"/>
      <c r="D535" s="17" t="e" cm="1">
        <f t="array" ref="D535">_xlfn.IFS(AND(InvestorTable[[#This Row],[Investor Tally '#]] = 'Payment Tracker'!$A535, 'Payment Tracker'!$C535="Dividend") = TRUE, InvestorTable[[#This Row],[Monthly ROI (₦)]], AND(InvestorTable[[#This Row],[Investor Tally '#]] = 'Payment Tracker'!$A535, 'Payment Tracker'!$C535="Capital") = TRUE, InvestorTable[[#This Row],[Investment Capital (₦)]], AND(InvestorTable[[#This Row],[Investor Tally '#]] = 'Payment Tracker'!$A535, 'Payment Tracker'!$C535="Refund") = TRUE, InvestorTable[[#This Row],[Investment Capital (₦)]] )</f>
        <v>#N/A</v>
      </c>
      <c r="E535" s="15"/>
      <c r="F535" s="14"/>
      <c r="G535" s="14"/>
      <c r="H535" s="14"/>
    </row>
    <row r="536" spans="1:8" x14ac:dyDescent="0.3">
      <c r="A536" s="13"/>
      <c r="B536" s="16">
        <f>IF($A536=InvestorTable[[#This Row],[Investor Tally '#]],InvestorTable[[#This Row],[Investor Name]], NA())</f>
        <v>0</v>
      </c>
      <c r="C536" s="14"/>
      <c r="D536" s="17" t="e" cm="1">
        <f t="array" ref="D536">_xlfn.IFS(AND(InvestorTable[[#This Row],[Investor Tally '#]] = 'Payment Tracker'!$A536, 'Payment Tracker'!$C536="Dividend") = TRUE, InvestorTable[[#This Row],[Monthly ROI (₦)]], AND(InvestorTable[[#This Row],[Investor Tally '#]] = 'Payment Tracker'!$A536, 'Payment Tracker'!$C536="Capital") = TRUE, InvestorTable[[#This Row],[Investment Capital (₦)]], AND(InvestorTable[[#This Row],[Investor Tally '#]] = 'Payment Tracker'!$A536, 'Payment Tracker'!$C536="Refund") = TRUE, InvestorTable[[#This Row],[Investment Capital (₦)]] )</f>
        <v>#N/A</v>
      </c>
      <c r="E536" s="15"/>
      <c r="F536" s="14"/>
      <c r="G536" s="14"/>
      <c r="H536" s="14"/>
    </row>
    <row r="537" spans="1:8" x14ac:dyDescent="0.3">
      <c r="A537" s="13"/>
      <c r="B537" s="16">
        <f>IF($A537=InvestorTable[[#This Row],[Investor Tally '#]],InvestorTable[[#This Row],[Investor Name]], NA())</f>
        <v>0</v>
      </c>
      <c r="C537" s="14"/>
      <c r="D537" s="17" t="e" cm="1">
        <f t="array" ref="D537">_xlfn.IFS(AND(InvestorTable[[#This Row],[Investor Tally '#]] = 'Payment Tracker'!$A537, 'Payment Tracker'!$C537="Dividend") = TRUE, InvestorTable[[#This Row],[Monthly ROI (₦)]], AND(InvestorTable[[#This Row],[Investor Tally '#]] = 'Payment Tracker'!$A537, 'Payment Tracker'!$C537="Capital") = TRUE, InvestorTable[[#This Row],[Investment Capital (₦)]], AND(InvestorTable[[#This Row],[Investor Tally '#]] = 'Payment Tracker'!$A537, 'Payment Tracker'!$C537="Refund") = TRUE, InvestorTable[[#This Row],[Investment Capital (₦)]] )</f>
        <v>#N/A</v>
      </c>
      <c r="E537" s="15"/>
      <c r="F537" s="14"/>
      <c r="G537" s="14"/>
      <c r="H537" s="14"/>
    </row>
    <row r="538" spans="1:8" x14ac:dyDescent="0.3">
      <c r="A538" s="13"/>
      <c r="B538" s="16">
        <f>IF($A538=InvestorTable[[#This Row],[Investor Tally '#]],InvestorTable[[#This Row],[Investor Name]], NA())</f>
        <v>0</v>
      </c>
      <c r="C538" s="14"/>
      <c r="D538" s="17" t="e" cm="1">
        <f t="array" ref="D538">_xlfn.IFS(AND(InvestorTable[[#This Row],[Investor Tally '#]] = 'Payment Tracker'!$A538, 'Payment Tracker'!$C538="Dividend") = TRUE, InvestorTable[[#This Row],[Monthly ROI (₦)]], AND(InvestorTable[[#This Row],[Investor Tally '#]] = 'Payment Tracker'!$A538, 'Payment Tracker'!$C538="Capital") = TRUE, InvestorTable[[#This Row],[Investment Capital (₦)]], AND(InvestorTable[[#This Row],[Investor Tally '#]] = 'Payment Tracker'!$A538, 'Payment Tracker'!$C538="Refund") = TRUE, InvestorTable[[#This Row],[Investment Capital (₦)]] )</f>
        <v>#N/A</v>
      </c>
      <c r="E538" s="15"/>
      <c r="F538" s="14"/>
      <c r="G538" s="14"/>
      <c r="H538" s="14"/>
    </row>
    <row r="539" spans="1:8" x14ac:dyDescent="0.3">
      <c r="A539" s="13"/>
      <c r="B539" s="16">
        <f>IF($A539=InvestorTable[[#This Row],[Investor Tally '#]],InvestorTable[[#This Row],[Investor Name]], NA())</f>
        <v>0</v>
      </c>
      <c r="C539" s="14"/>
      <c r="D539" s="17" t="e" cm="1">
        <f t="array" ref="D539">_xlfn.IFS(AND(InvestorTable[[#This Row],[Investor Tally '#]] = 'Payment Tracker'!$A539, 'Payment Tracker'!$C539="Dividend") = TRUE, InvestorTable[[#This Row],[Monthly ROI (₦)]], AND(InvestorTable[[#This Row],[Investor Tally '#]] = 'Payment Tracker'!$A539, 'Payment Tracker'!$C539="Capital") = TRUE, InvestorTable[[#This Row],[Investment Capital (₦)]], AND(InvestorTable[[#This Row],[Investor Tally '#]] = 'Payment Tracker'!$A539, 'Payment Tracker'!$C539="Refund") = TRUE, InvestorTable[[#This Row],[Investment Capital (₦)]] )</f>
        <v>#N/A</v>
      </c>
      <c r="E539" s="15"/>
      <c r="F539" s="14"/>
      <c r="G539" s="14"/>
      <c r="H539" s="14"/>
    </row>
    <row r="540" spans="1:8" x14ac:dyDescent="0.3">
      <c r="A540" s="13"/>
      <c r="B540" s="16">
        <f>IF($A540=InvestorTable[[#This Row],[Investor Tally '#]],InvestorTable[[#This Row],[Investor Name]], NA())</f>
        <v>0</v>
      </c>
      <c r="C540" s="14"/>
      <c r="D540" s="17" t="e" cm="1">
        <f t="array" ref="D540">_xlfn.IFS(AND(InvestorTable[[#This Row],[Investor Tally '#]] = 'Payment Tracker'!$A540, 'Payment Tracker'!$C540="Dividend") = TRUE, InvestorTable[[#This Row],[Monthly ROI (₦)]], AND(InvestorTable[[#This Row],[Investor Tally '#]] = 'Payment Tracker'!$A540, 'Payment Tracker'!$C540="Capital") = TRUE, InvestorTable[[#This Row],[Investment Capital (₦)]], AND(InvestorTable[[#This Row],[Investor Tally '#]] = 'Payment Tracker'!$A540, 'Payment Tracker'!$C540="Refund") = TRUE, InvestorTable[[#This Row],[Investment Capital (₦)]] )</f>
        <v>#N/A</v>
      </c>
      <c r="E540" s="15"/>
      <c r="F540" s="14"/>
      <c r="G540" s="14"/>
      <c r="H540" s="14"/>
    </row>
    <row r="541" spans="1:8" x14ac:dyDescent="0.3">
      <c r="A541" s="13"/>
      <c r="B541" s="16">
        <f>IF($A541=InvestorTable[[#This Row],[Investor Tally '#]],InvestorTable[[#This Row],[Investor Name]], NA())</f>
        <v>0</v>
      </c>
      <c r="C541" s="14"/>
      <c r="D541" s="17" t="e" cm="1">
        <f t="array" ref="D541">_xlfn.IFS(AND(InvestorTable[[#This Row],[Investor Tally '#]] = 'Payment Tracker'!$A541, 'Payment Tracker'!$C541="Dividend") = TRUE, InvestorTable[[#This Row],[Monthly ROI (₦)]], AND(InvestorTable[[#This Row],[Investor Tally '#]] = 'Payment Tracker'!$A541, 'Payment Tracker'!$C541="Capital") = TRUE, InvestorTable[[#This Row],[Investment Capital (₦)]], AND(InvestorTable[[#This Row],[Investor Tally '#]] = 'Payment Tracker'!$A541, 'Payment Tracker'!$C541="Refund") = TRUE, InvestorTable[[#This Row],[Investment Capital (₦)]] )</f>
        <v>#N/A</v>
      </c>
      <c r="E541" s="15"/>
      <c r="F541" s="14"/>
      <c r="G541" s="14"/>
      <c r="H541" s="14"/>
    </row>
    <row r="542" spans="1:8" x14ac:dyDescent="0.3">
      <c r="A542" s="13"/>
      <c r="B542" s="16">
        <f>IF($A542=InvestorTable[[#This Row],[Investor Tally '#]],InvestorTable[[#This Row],[Investor Name]], NA())</f>
        <v>0</v>
      </c>
      <c r="C542" s="14"/>
      <c r="D542" s="17" t="e" cm="1">
        <f t="array" ref="D542">_xlfn.IFS(AND(InvestorTable[[#This Row],[Investor Tally '#]] = 'Payment Tracker'!$A542, 'Payment Tracker'!$C542="Dividend") = TRUE, InvestorTable[[#This Row],[Monthly ROI (₦)]], AND(InvestorTable[[#This Row],[Investor Tally '#]] = 'Payment Tracker'!$A542, 'Payment Tracker'!$C542="Capital") = TRUE, InvestorTable[[#This Row],[Investment Capital (₦)]], AND(InvestorTable[[#This Row],[Investor Tally '#]] = 'Payment Tracker'!$A542, 'Payment Tracker'!$C542="Refund") = TRUE, InvestorTable[[#This Row],[Investment Capital (₦)]] )</f>
        <v>#N/A</v>
      </c>
      <c r="E542" s="15"/>
      <c r="F542" s="14"/>
      <c r="G542" s="14"/>
      <c r="H542" s="14"/>
    </row>
    <row r="543" spans="1:8" x14ac:dyDescent="0.3">
      <c r="A543" s="13"/>
      <c r="B543" s="16">
        <f>IF($A543=InvestorTable[[#This Row],[Investor Tally '#]],InvestorTable[[#This Row],[Investor Name]], NA())</f>
        <v>0</v>
      </c>
      <c r="C543" s="14"/>
      <c r="D543" s="17" t="e" cm="1">
        <f t="array" ref="D543">_xlfn.IFS(AND(InvestorTable[[#This Row],[Investor Tally '#]] = 'Payment Tracker'!$A543, 'Payment Tracker'!$C543="Dividend") = TRUE, InvestorTable[[#This Row],[Monthly ROI (₦)]], AND(InvestorTable[[#This Row],[Investor Tally '#]] = 'Payment Tracker'!$A543, 'Payment Tracker'!$C543="Capital") = TRUE, InvestorTable[[#This Row],[Investment Capital (₦)]], AND(InvestorTable[[#This Row],[Investor Tally '#]] = 'Payment Tracker'!$A543, 'Payment Tracker'!$C543="Refund") = TRUE, InvestorTable[[#This Row],[Investment Capital (₦)]] )</f>
        <v>#N/A</v>
      </c>
      <c r="E543" s="15"/>
      <c r="F543" s="14"/>
      <c r="G543" s="14"/>
      <c r="H543" s="14"/>
    </row>
    <row r="544" spans="1:8" x14ac:dyDescent="0.3">
      <c r="A544" s="13"/>
      <c r="B544" s="16">
        <f>IF($A544=InvestorTable[[#This Row],[Investor Tally '#]],InvestorTable[[#This Row],[Investor Name]], NA())</f>
        <v>0</v>
      </c>
      <c r="C544" s="14"/>
      <c r="D544" s="17" t="e" cm="1">
        <f t="array" ref="D544">_xlfn.IFS(AND(InvestorTable[[#This Row],[Investor Tally '#]] = 'Payment Tracker'!$A544, 'Payment Tracker'!$C544="Dividend") = TRUE, InvestorTable[[#This Row],[Monthly ROI (₦)]], AND(InvestorTable[[#This Row],[Investor Tally '#]] = 'Payment Tracker'!$A544, 'Payment Tracker'!$C544="Capital") = TRUE, InvestorTable[[#This Row],[Investment Capital (₦)]], AND(InvestorTable[[#This Row],[Investor Tally '#]] = 'Payment Tracker'!$A544, 'Payment Tracker'!$C544="Refund") = TRUE, InvestorTable[[#This Row],[Investment Capital (₦)]] )</f>
        <v>#N/A</v>
      </c>
      <c r="E544" s="15"/>
      <c r="F544" s="14"/>
      <c r="G544" s="14"/>
      <c r="H544" s="14"/>
    </row>
    <row r="545" spans="1:8" x14ac:dyDescent="0.3">
      <c r="A545" s="13"/>
      <c r="B545" s="16">
        <f>IF($A545=InvestorTable[[#This Row],[Investor Tally '#]],InvestorTable[[#This Row],[Investor Name]], NA())</f>
        <v>0</v>
      </c>
      <c r="C545" s="14"/>
      <c r="D545" s="17" t="e" cm="1">
        <f t="array" ref="D545">_xlfn.IFS(AND(InvestorTable[[#This Row],[Investor Tally '#]] = 'Payment Tracker'!$A545, 'Payment Tracker'!$C545="Dividend") = TRUE, InvestorTable[[#This Row],[Monthly ROI (₦)]], AND(InvestorTable[[#This Row],[Investor Tally '#]] = 'Payment Tracker'!$A545, 'Payment Tracker'!$C545="Capital") = TRUE, InvestorTable[[#This Row],[Investment Capital (₦)]], AND(InvestorTable[[#This Row],[Investor Tally '#]] = 'Payment Tracker'!$A545, 'Payment Tracker'!$C545="Refund") = TRUE, InvestorTable[[#This Row],[Investment Capital (₦)]] )</f>
        <v>#N/A</v>
      </c>
      <c r="E545" s="15"/>
      <c r="F545" s="14"/>
      <c r="G545" s="14"/>
      <c r="H545" s="14"/>
    </row>
    <row r="546" spans="1:8" x14ac:dyDescent="0.3">
      <c r="A546" s="13"/>
      <c r="B546" s="16">
        <f>IF($A546=InvestorTable[[#This Row],[Investor Tally '#]],InvestorTable[[#This Row],[Investor Name]], NA())</f>
        <v>0</v>
      </c>
      <c r="C546" s="14"/>
      <c r="D546" s="17" t="e" cm="1">
        <f t="array" ref="D546">_xlfn.IFS(AND(InvestorTable[[#This Row],[Investor Tally '#]] = 'Payment Tracker'!$A546, 'Payment Tracker'!$C546="Dividend") = TRUE, InvestorTable[[#This Row],[Monthly ROI (₦)]], AND(InvestorTable[[#This Row],[Investor Tally '#]] = 'Payment Tracker'!$A546, 'Payment Tracker'!$C546="Capital") = TRUE, InvestorTable[[#This Row],[Investment Capital (₦)]], AND(InvestorTable[[#This Row],[Investor Tally '#]] = 'Payment Tracker'!$A546, 'Payment Tracker'!$C546="Refund") = TRUE, InvestorTable[[#This Row],[Investment Capital (₦)]] )</f>
        <v>#N/A</v>
      </c>
      <c r="E546" s="15"/>
      <c r="F546" s="14"/>
      <c r="G546" s="14"/>
      <c r="H546" s="14"/>
    </row>
    <row r="547" spans="1:8" x14ac:dyDescent="0.3">
      <c r="A547" s="13"/>
      <c r="B547" s="16">
        <f>IF($A547=InvestorTable[[#This Row],[Investor Tally '#]],InvestorTable[[#This Row],[Investor Name]], NA())</f>
        <v>0</v>
      </c>
      <c r="C547" s="14"/>
      <c r="D547" s="17" t="e" cm="1">
        <f t="array" ref="D547">_xlfn.IFS(AND(InvestorTable[[#This Row],[Investor Tally '#]] = 'Payment Tracker'!$A547, 'Payment Tracker'!$C547="Dividend") = TRUE, InvestorTable[[#This Row],[Monthly ROI (₦)]], AND(InvestorTable[[#This Row],[Investor Tally '#]] = 'Payment Tracker'!$A547, 'Payment Tracker'!$C547="Capital") = TRUE, InvestorTable[[#This Row],[Investment Capital (₦)]], AND(InvestorTable[[#This Row],[Investor Tally '#]] = 'Payment Tracker'!$A547, 'Payment Tracker'!$C547="Refund") = TRUE, InvestorTable[[#This Row],[Investment Capital (₦)]] )</f>
        <v>#N/A</v>
      </c>
      <c r="E547" s="15"/>
      <c r="F547" s="14"/>
      <c r="G547" s="14"/>
      <c r="H547" s="14"/>
    </row>
    <row r="548" spans="1:8" x14ac:dyDescent="0.3">
      <c r="A548" s="13"/>
      <c r="B548" s="16">
        <f>IF($A548=InvestorTable[[#This Row],[Investor Tally '#]],InvestorTable[[#This Row],[Investor Name]], NA())</f>
        <v>0</v>
      </c>
      <c r="C548" s="14"/>
      <c r="D548" s="17" t="e" cm="1">
        <f t="array" ref="D548">_xlfn.IFS(AND(InvestorTable[[#This Row],[Investor Tally '#]] = 'Payment Tracker'!$A548, 'Payment Tracker'!$C548="Dividend") = TRUE, InvestorTable[[#This Row],[Monthly ROI (₦)]], AND(InvestorTable[[#This Row],[Investor Tally '#]] = 'Payment Tracker'!$A548, 'Payment Tracker'!$C548="Capital") = TRUE, InvestorTable[[#This Row],[Investment Capital (₦)]], AND(InvestorTable[[#This Row],[Investor Tally '#]] = 'Payment Tracker'!$A548, 'Payment Tracker'!$C548="Refund") = TRUE, InvestorTable[[#This Row],[Investment Capital (₦)]] )</f>
        <v>#N/A</v>
      </c>
      <c r="E548" s="15"/>
      <c r="F548" s="14"/>
      <c r="G548" s="14"/>
      <c r="H548" s="14"/>
    </row>
    <row r="549" spans="1:8" x14ac:dyDescent="0.3">
      <c r="A549" s="13"/>
      <c r="B549" s="16">
        <f>IF($A549=InvestorTable[[#This Row],[Investor Tally '#]],InvestorTable[[#This Row],[Investor Name]], NA())</f>
        <v>0</v>
      </c>
      <c r="C549" s="14"/>
      <c r="D549" s="17" t="e" cm="1">
        <f t="array" ref="D549">_xlfn.IFS(AND(InvestorTable[[#This Row],[Investor Tally '#]] = 'Payment Tracker'!$A549, 'Payment Tracker'!$C549="Dividend") = TRUE, InvestorTable[[#This Row],[Monthly ROI (₦)]], AND(InvestorTable[[#This Row],[Investor Tally '#]] = 'Payment Tracker'!$A549, 'Payment Tracker'!$C549="Capital") = TRUE, InvestorTable[[#This Row],[Investment Capital (₦)]], AND(InvestorTable[[#This Row],[Investor Tally '#]] = 'Payment Tracker'!$A549, 'Payment Tracker'!$C549="Refund") = TRUE, InvestorTable[[#This Row],[Investment Capital (₦)]] )</f>
        <v>#N/A</v>
      </c>
      <c r="E549" s="15"/>
      <c r="F549" s="14"/>
      <c r="G549" s="14"/>
      <c r="H549" s="14"/>
    </row>
    <row r="550" spans="1:8" x14ac:dyDescent="0.3">
      <c r="A550" s="13"/>
      <c r="B550" s="16">
        <f>IF($A550=InvestorTable[[#This Row],[Investor Tally '#]],InvestorTable[[#This Row],[Investor Name]], NA())</f>
        <v>0</v>
      </c>
      <c r="C550" s="14"/>
      <c r="D550" s="17" t="e" cm="1">
        <f t="array" ref="D550">_xlfn.IFS(AND(InvestorTable[[#This Row],[Investor Tally '#]] = 'Payment Tracker'!$A550, 'Payment Tracker'!$C550="Dividend") = TRUE, InvestorTable[[#This Row],[Monthly ROI (₦)]], AND(InvestorTable[[#This Row],[Investor Tally '#]] = 'Payment Tracker'!$A550, 'Payment Tracker'!$C550="Capital") = TRUE, InvestorTable[[#This Row],[Investment Capital (₦)]], AND(InvestorTable[[#This Row],[Investor Tally '#]] = 'Payment Tracker'!$A550, 'Payment Tracker'!$C550="Refund") = TRUE, InvestorTable[[#This Row],[Investment Capital (₦)]] )</f>
        <v>#N/A</v>
      </c>
      <c r="E550" s="15"/>
      <c r="F550" s="14"/>
      <c r="G550" s="14"/>
      <c r="H550" s="14"/>
    </row>
    <row r="551" spans="1:8" x14ac:dyDescent="0.3">
      <c r="A551" s="13"/>
      <c r="B551" s="16">
        <f>IF($A551=InvestorTable[[#This Row],[Investor Tally '#]],InvestorTable[[#This Row],[Investor Name]], NA())</f>
        <v>0</v>
      </c>
      <c r="C551" s="14"/>
      <c r="D551" s="17" t="e" cm="1">
        <f t="array" ref="D551">_xlfn.IFS(AND(InvestorTable[[#This Row],[Investor Tally '#]] = 'Payment Tracker'!$A551, 'Payment Tracker'!$C551="Dividend") = TRUE, InvestorTable[[#This Row],[Monthly ROI (₦)]], AND(InvestorTable[[#This Row],[Investor Tally '#]] = 'Payment Tracker'!$A551, 'Payment Tracker'!$C551="Capital") = TRUE, InvestorTable[[#This Row],[Investment Capital (₦)]], AND(InvestorTable[[#This Row],[Investor Tally '#]] = 'Payment Tracker'!$A551, 'Payment Tracker'!$C551="Refund") = TRUE, InvestorTable[[#This Row],[Investment Capital (₦)]] )</f>
        <v>#N/A</v>
      </c>
      <c r="E551" s="15"/>
      <c r="F551" s="14"/>
      <c r="G551" s="14"/>
      <c r="H551" s="14"/>
    </row>
    <row r="552" spans="1:8" x14ac:dyDescent="0.3">
      <c r="A552" s="13"/>
      <c r="B552" s="16">
        <f>IF($A552=InvestorTable[[#This Row],[Investor Tally '#]],InvestorTable[[#This Row],[Investor Name]], NA())</f>
        <v>0</v>
      </c>
      <c r="C552" s="14"/>
      <c r="D552" s="17" t="e" cm="1">
        <f t="array" ref="D552">_xlfn.IFS(AND(InvestorTable[[#This Row],[Investor Tally '#]] = 'Payment Tracker'!$A552, 'Payment Tracker'!$C552="Dividend") = TRUE, InvestorTable[[#This Row],[Monthly ROI (₦)]], AND(InvestorTable[[#This Row],[Investor Tally '#]] = 'Payment Tracker'!$A552, 'Payment Tracker'!$C552="Capital") = TRUE, InvestorTable[[#This Row],[Investment Capital (₦)]], AND(InvestorTable[[#This Row],[Investor Tally '#]] = 'Payment Tracker'!$A552, 'Payment Tracker'!$C552="Refund") = TRUE, InvestorTable[[#This Row],[Investment Capital (₦)]] )</f>
        <v>#N/A</v>
      </c>
      <c r="E552" s="15"/>
      <c r="F552" s="14"/>
      <c r="G552" s="14"/>
      <c r="H552" s="14"/>
    </row>
    <row r="553" spans="1:8" x14ac:dyDescent="0.3">
      <c r="A553" s="13"/>
      <c r="B553" s="16">
        <f>IF($A553=InvestorTable[[#This Row],[Investor Tally '#]],InvestorTable[[#This Row],[Investor Name]], NA())</f>
        <v>0</v>
      </c>
      <c r="C553" s="14"/>
      <c r="D553" s="17" t="e" cm="1">
        <f t="array" ref="D553">_xlfn.IFS(AND(InvestorTable[[#This Row],[Investor Tally '#]] = 'Payment Tracker'!$A553, 'Payment Tracker'!$C553="Dividend") = TRUE, InvestorTable[[#This Row],[Monthly ROI (₦)]], AND(InvestorTable[[#This Row],[Investor Tally '#]] = 'Payment Tracker'!$A553, 'Payment Tracker'!$C553="Capital") = TRUE, InvestorTable[[#This Row],[Investment Capital (₦)]], AND(InvestorTable[[#This Row],[Investor Tally '#]] = 'Payment Tracker'!$A553, 'Payment Tracker'!$C553="Refund") = TRUE, InvestorTable[[#This Row],[Investment Capital (₦)]] )</f>
        <v>#N/A</v>
      </c>
      <c r="E553" s="15"/>
      <c r="F553" s="14"/>
      <c r="G553" s="14"/>
      <c r="H553" s="14"/>
    </row>
    <row r="554" spans="1:8" x14ac:dyDescent="0.3">
      <c r="A554" s="13"/>
      <c r="B554" s="16">
        <f>IF($A554=InvestorTable[[#This Row],[Investor Tally '#]],InvestorTable[[#This Row],[Investor Name]], NA())</f>
        <v>0</v>
      </c>
      <c r="C554" s="14"/>
      <c r="D554" s="17" t="e" cm="1">
        <f t="array" ref="D554">_xlfn.IFS(AND(InvestorTable[[#This Row],[Investor Tally '#]] = 'Payment Tracker'!$A554, 'Payment Tracker'!$C554="Dividend") = TRUE, InvestorTable[[#This Row],[Monthly ROI (₦)]], AND(InvestorTable[[#This Row],[Investor Tally '#]] = 'Payment Tracker'!$A554, 'Payment Tracker'!$C554="Capital") = TRUE, InvestorTable[[#This Row],[Investment Capital (₦)]], AND(InvestorTable[[#This Row],[Investor Tally '#]] = 'Payment Tracker'!$A554, 'Payment Tracker'!$C554="Refund") = TRUE, InvestorTable[[#This Row],[Investment Capital (₦)]] )</f>
        <v>#N/A</v>
      </c>
      <c r="E554" s="15"/>
      <c r="F554" s="14"/>
      <c r="G554" s="14"/>
      <c r="H554" s="14"/>
    </row>
    <row r="555" spans="1:8" x14ac:dyDescent="0.3">
      <c r="A555" s="13"/>
      <c r="B555" s="16">
        <f>IF($A555=InvestorTable[[#This Row],[Investor Tally '#]],InvestorTable[[#This Row],[Investor Name]], NA())</f>
        <v>0</v>
      </c>
      <c r="C555" s="14"/>
      <c r="D555" s="17" t="e" cm="1">
        <f t="array" ref="D555">_xlfn.IFS(AND(InvestorTable[[#This Row],[Investor Tally '#]] = 'Payment Tracker'!$A555, 'Payment Tracker'!$C555="Dividend") = TRUE, InvestorTable[[#This Row],[Monthly ROI (₦)]], AND(InvestorTable[[#This Row],[Investor Tally '#]] = 'Payment Tracker'!$A555, 'Payment Tracker'!$C555="Capital") = TRUE, InvestorTable[[#This Row],[Investment Capital (₦)]], AND(InvestorTable[[#This Row],[Investor Tally '#]] = 'Payment Tracker'!$A555, 'Payment Tracker'!$C555="Refund") = TRUE, InvestorTable[[#This Row],[Investment Capital (₦)]] )</f>
        <v>#N/A</v>
      </c>
      <c r="E555" s="15"/>
      <c r="F555" s="14"/>
      <c r="G555" s="14"/>
      <c r="H555" s="14"/>
    </row>
    <row r="556" spans="1:8" x14ac:dyDescent="0.3">
      <c r="A556" s="13"/>
      <c r="B556" s="16">
        <f>IF($A556=InvestorTable[[#This Row],[Investor Tally '#]],InvestorTable[[#This Row],[Investor Name]], NA())</f>
        <v>0</v>
      </c>
      <c r="C556" s="14"/>
      <c r="D556" s="17" t="e" cm="1">
        <f t="array" ref="D556">_xlfn.IFS(AND(InvestorTable[[#This Row],[Investor Tally '#]] = 'Payment Tracker'!$A556, 'Payment Tracker'!$C556="Dividend") = TRUE, InvestorTable[[#This Row],[Monthly ROI (₦)]], AND(InvestorTable[[#This Row],[Investor Tally '#]] = 'Payment Tracker'!$A556, 'Payment Tracker'!$C556="Capital") = TRUE, InvestorTable[[#This Row],[Investment Capital (₦)]], AND(InvestorTable[[#This Row],[Investor Tally '#]] = 'Payment Tracker'!$A556, 'Payment Tracker'!$C556="Refund") = TRUE, InvestorTable[[#This Row],[Investment Capital (₦)]] )</f>
        <v>#N/A</v>
      </c>
      <c r="E556" s="15"/>
      <c r="F556" s="14"/>
      <c r="G556" s="14"/>
      <c r="H556" s="14"/>
    </row>
    <row r="557" spans="1:8" x14ac:dyDescent="0.3">
      <c r="A557" s="13"/>
      <c r="B557" s="16">
        <f>IF($A557=InvestorTable[[#This Row],[Investor Tally '#]],InvestorTable[[#This Row],[Investor Name]], NA())</f>
        <v>0</v>
      </c>
      <c r="C557" s="14"/>
      <c r="D557" s="17" t="e" cm="1">
        <f t="array" ref="D557">_xlfn.IFS(AND(InvestorTable[[#This Row],[Investor Tally '#]] = 'Payment Tracker'!$A557, 'Payment Tracker'!$C557="Dividend") = TRUE, InvestorTable[[#This Row],[Monthly ROI (₦)]], AND(InvestorTable[[#This Row],[Investor Tally '#]] = 'Payment Tracker'!$A557, 'Payment Tracker'!$C557="Capital") = TRUE, InvestorTable[[#This Row],[Investment Capital (₦)]], AND(InvestorTable[[#This Row],[Investor Tally '#]] = 'Payment Tracker'!$A557, 'Payment Tracker'!$C557="Refund") = TRUE, InvestorTable[[#This Row],[Investment Capital (₦)]] )</f>
        <v>#N/A</v>
      </c>
      <c r="E557" s="15"/>
      <c r="F557" s="14"/>
      <c r="G557" s="14"/>
      <c r="H557" s="14"/>
    </row>
    <row r="558" spans="1:8" x14ac:dyDescent="0.3">
      <c r="A558" s="13"/>
      <c r="B558" s="16">
        <f>IF($A558=InvestorTable[[#This Row],[Investor Tally '#]],InvestorTable[[#This Row],[Investor Name]], NA())</f>
        <v>0</v>
      </c>
      <c r="C558" s="14"/>
      <c r="D558" s="17" t="e" cm="1">
        <f t="array" ref="D558">_xlfn.IFS(AND(InvestorTable[[#This Row],[Investor Tally '#]] = 'Payment Tracker'!$A558, 'Payment Tracker'!$C558="Dividend") = TRUE, InvestorTable[[#This Row],[Monthly ROI (₦)]], AND(InvestorTable[[#This Row],[Investor Tally '#]] = 'Payment Tracker'!$A558, 'Payment Tracker'!$C558="Capital") = TRUE, InvestorTable[[#This Row],[Investment Capital (₦)]], AND(InvestorTable[[#This Row],[Investor Tally '#]] = 'Payment Tracker'!$A558, 'Payment Tracker'!$C558="Refund") = TRUE, InvestorTable[[#This Row],[Investment Capital (₦)]] )</f>
        <v>#N/A</v>
      </c>
      <c r="E558" s="15"/>
      <c r="F558" s="14"/>
      <c r="G558" s="14"/>
      <c r="H558" s="14"/>
    </row>
    <row r="559" spans="1:8" x14ac:dyDescent="0.3">
      <c r="A559" s="13"/>
      <c r="B559" s="16">
        <f>IF($A559=InvestorTable[[#This Row],[Investor Tally '#]],InvestorTable[[#This Row],[Investor Name]], NA())</f>
        <v>0</v>
      </c>
      <c r="C559" s="14"/>
      <c r="D559" s="17" t="e" cm="1">
        <f t="array" ref="D559">_xlfn.IFS(AND(InvestorTable[[#This Row],[Investor Tally '#]] = 'Payment Tracker'!$A559, 'Payment Tracker'!$C559="Dividend") = TRUE, InvestorTable[[#This Row],[Monthly ROI (₦)]], AND(InvestorTable[[#This Row],[Investor Tally '#]] = 'Payment Tracker'!$A559, 'Payment Tracker'!$C559="Capital") = TRUE, InvestorTable[[#This Row],[Investment Capital (₦)]], AND(InvestorTable[[#This Row],[Investor Tally '#]] = 'Payment Tracker'!$A559, 'Payment Tracker'!$C559="Refund") = TRUE, InvestorTable[[#This Row],[Investment Capital (₦)]] )</f>
        <v>#N/A</v>
      </c>
      <c r="E559" s="15"/>
      <c r="F559" s="14"/>
      <c r="G559" s="14"/>
      <c r="H559" s="14"/>
    </row>
    <row r="560" spans="1:8" x14ac:dyDescent="0.3">
      <c r="A560" s="13"/>
      <c r="B560" s="16">
        <f>IF($A560=InvestorTable[[#This Row],[Investor Tally '#]],InvestorTable[[#This Row],[Investor Name]], NA())</f>
        <v>0</v>
      </c>
      <c r="C560" s="14"/>
      <c r="D560" s="17" t="e" cm="1">
        <f t="array" ref="D560">_xlfn.IFS(AND(InvestorTable[[#This Row],[Investor Tally '#]] = 'Payment Tracker'!$A560, 'Payment Tracker'!$C560="Dividend") = TRUE, InvestorTable[[#This Row],[Monthly ROI (₦)]], AND(InvestorTable[[#This Row],[Investor Tally '#]] = 'Payment Tracker'!$A560, 'Payment Tracker'!$C560="Capital") = TRUE, InvestorTable[[#This Row],[Investment Capital (₦)]], AND(InvestorTable[[#This Row],[Investor Tally '#]] = 'Payment Tracker'!$A560, 'Payment Tracker'!$C560="Refund") = TRUE, InvestorTable[[#This Row],[Investment Capital (₦)]] )</f>
        <v>#N/A</v>
      </c>
      <c r="E560" s="15"/>
      <c r="F560" s="14"/>
      <c r="G560" s="14"/>
      <c r="H560" s="14"/>
    </row>
    <row r="561" spans="1:8" x14ac:dyDescent="0.3">
      <c r="A561" s="13"/>
      <c r="B561" s="16">
        <f>IF($A561=InvestorTable[[#This Row],[Investor Tally '#]],InvestorTable[[#This Row],[Investor Name]], NA())</f>
        <v>0</v>
      </c>
      <c r="C561" s="14"/>
      <c r="D561" s="17" t="e" cm="1">
        <f t="array" ref="D561">_xlfn.IFS(AND(InvestorTable[[#This Row],[Investor Tally '#]] = 'Payment Tracker'!$A561, 'Payment Tracker'!$C561="Dividend") = TRUE, InvestorTable[[#This Row],[Monthly ROI (₦)]], AND(InvestorTable[[#This Row],[Investor Tally '#]] = 'Payment Tracker'!$A561, 'Payment Tracker'!$C561="Capital") = TRUE, InvestorTable[[#This Row],[Investment Capital (₦)]], AND(InvestorTable[[#This Row],[Investor Tally '#]] = 'Payment Tracker'!$A561, 'Payment Tracker'!$C561="Refund") = TRUE, InvestorTable[[#This Row],[Investment Capital (₦)]] )</f>
        <v>#N/A</v>
      </c>
      <c r="E561" s="15"/>
      <c r="F561" s="14"/>
      <c r="G561" s="14"/>
      <c r="H561" s="14"/>
    </row>
    <row r="562" spans="1:8" x14ac:dyDescent="0.3">
      <c r="A562" s="13"/>
      <c r="B562" s="16">
        <f>IF($A562=InvestorTable[[#This Row],[Investor Tally '#]],InvestorTable[[#This Row],[Investor Name]], NA())</f>
        <v>0</v>
      </c>
      <c r="C562" s="14"/>
      <c r="D562" s="17" t="e" cm="1">
        <f t="array" ref="D562">_xlfn.IFS(AND(InvestorTable[[#This Row],[Investor Tally '#]] = 'Payment Tracker'!$A562, 'Payment Tracker'!$C562="Dividend") = TRUE, InvestorTable[[#This Row],[Monthly ROI (₦)]], AND(InvestorTable[[#This Row],[Investor Tally '#]] = 'Payment Tracker'!$A562, 'Payment Tracker'!$C562="Capital") = TRUE, InvestorTable[[#This Row],[Investment Capital (₦)]], AND(InvestorTable[[#This Row],[Investor Tally '#]] = 'Payment Tracker'!$A562, 'Payment Tracker'!$C562="Refund") = TRUE, InvestorTable[[#This Row],[Investment Capital (₦)]] )</f>
        <v>#N/A</v>
      </c>
      <c r="E562" s="15"/>
      <c r="F562" s="14"/>
      <c r="G562" s="14"/>
      <c r="H562" s="14"/>
    </row>
    <row r="563" spans="1:8" x14ac:dyDescent="0.3">
      <c r="A563" s="13"/>
      <c r="B563" s="16">
        <f>IF($A563=InvestorTable[[#This Row],[Investor Tally '#]],InvestorTable[[#This Row],[Investor Name]], NA())</f>
        <v>0</v>
      </c>
      <c r="C563" s="14"/>
      <c r="D563" s="17" t="e" cm="1">
        <f t="array" ref="D563">_xlfn.IFS(AND(InvestorTable[[#This Row],[Investor Tally '#]] = 'Payment Tracker'!$A563, 'Payment Tracker'!$C563="Dividend") = TRUE, InvestorTable[[#This Row],[Monthly ROI (₦)]], AND(InvestorTable[[#This Row],[Investor Tally '#]] = 'Payment Tracker'!$A563, 'Payment Tracker'!$C563="Capital") = TRUE, InvestorTable[[#This Row],[Investment Capital (₦)]], AND(InvestorTable[[#This Row],[Investor Tally '#]] = 'Payment Tracker'!$A563, 'Payment Tracker'!$C563="Refund") = TRUE, InvestorTable[[#This Row],[Investment Capital (₦)]] )</f>
        <v>#N/A</v>
      </c>
      <c r="E563" s="15"/>
      <c r="F563" s="14"/>
      <c r="G563" s="14"/>
      <c r="H563" s="14"/>
    </row>
    <row r="564" spans="1:8" x14ac:dyDescent="0.3">
      <c r="A564" s="13"/>
      <c r="B564" s="16">
        <f>IF($A564=InvestorTable[[#This Row],[Investor Tally '#]],InvestorTable[[#This Row],[Investor Name]], NA())</f>
        <v>0</v>
      </c>
      <c r="C564" s="14"/>
      <c r="D564" s="17" t="e" cm="1">
        <f t="array" ref="D564">_xlfn.IFS(AND(InvestorTable[[#This Row],[Investor Tally '#]] = 'Payment Tracker'!$A564, 'Payment Tracker'!$C564="Dividend") = TRUE, InvestorTable[[#This Row],[Monthly ROI (₦)]], AND(InvestorTable[[#This Row],[Investor Tally '#]] = 'Payment Tracker'!$A564, 'Payment Tracker'!$C564="Capital") = TRUE, InvestorTable[[#This Row],[Investment Capital (₦)]], AND(InvestorTable[[#This Row],[Investor Tally '#]] = 'Payment Tracker'!$A564, 'Payment Tracker'!$C564="Refund") = TRUE, InvestorTable[[#This Row],[Investment Capital (₦)]] )</f>
        <v>#N/A</v>
      </c>
      <c r="E564" s="15"/>
      <c r="F564" s="14"/>
      <c r="G564" s="14"/>
      <c r="H564" s="14"/>
    </row>
    <row r="565" spans="1:8" x14ac:dyDescent="0.3">
      <c r="A565" s="13"/>
      <c r="B565" s="16">
        <f>IF($A565=InvestorTable[[#This Row],[Investor Tally '#]],InvestorTable[[#This Row],[Investor Name]], NA())</f>
        <v>0</v>
      </c>
      <c r="C565" s="14"/>
      <c r="D565" s="17" t="e" cm="1">
        <f t="array" ref="D565">_xlfn.IFS(AND(InvestorTable[[#This Row],[Investor Tally '#]] = 'Payment Tracker'!$A565, 'Payment Tracker'!$C565="Dividend") = TRUE, InvestorTable[[#This Row],[Monthly ROI (₦)]], AND(InvestorTable[[#This Row],[Investor Tally '#]] = 'Payment Tracker'!$A565, 'Payment Tracker'!$C565="Capital") = TRUE, InvestorTable[[#This Row],[Investment Capital (₦)]], AND(InvestorTable[[#This Row],[Investor Tally '#]] = 'Payment Tracker'!$A565, 'Payment Tracker'!$C565="Refund") = TRUE, InvestorTable[[#This Row],[Investment Capital (₦)]] )</f>
        <v>#N/A</v>
      </c>
      <c r="E565" s="15"/>
      <c r="F565" s="14"/>
      <c r="G565" s="14"/>
      <c r="H565" s="14"/>
    </row>
    <row r="566" spans="1:8" x14ac:dyDescent="0.3">
      <c r="A566" s="13"/>
      <c r="B566" s="16">
        <f>IF($A566=InvestorTable[[#This Row],[Investor Tally '#]],InvestorTable[[#This Row],[Investor Name]], NA())</f>
        <v>0</v>
      </c>
      <c r="C566" s="14"/>
      <c r="D566" s="17" t="e" cm="1">
        <f t="array" ref="D566">_xlfn.IFS(AND(InvestorTable[[#This Row],[Investor Tally '#]] = 'Payment Tracker'!$A566, 'Payment Tracker'!$C566="Dividend") = TRUE, InvestorTable[[#This Row],[Monthly ROI (₦)]], AND(InvestorTable[[#This Row],[Investor Tally '#]] = 'Payment Tracker'!$A566, 'Payment Tracker'!$C566="Capital") = TRUE, InvestorTable[[#This Row],[Investment Capital (₦)]], AND(InvestorTable[[#This Row],[Investor Tally '#]] = 'Payment Tracker'!$A566, 'Payment Tracker'!$C566="Refund") = TRUE, InvestorTable[[#This Row],[Investment Capital (₦)]] )</f>
        <v>#N/A</v>
      </c>
      <c r="E566" s="15"/>
      <c r="F566" s="14"/>
      <c r="G566" s="14"/>
      <c r="H566" s="14"/>
    </row>
    <row r="567" spans="1:8" x14ac:dyDescent="0.3">
      <c r="A567" s="13"/>
      <c r="B567" s="16">
        <f>IF($A567=InvestorTable[[#This Row],[Investor Tally '#]],InvestorTable[[#This Row],[Investor Name]], NA())</f>
        <v>0</v>
      </c>
      <c r="C567" s="14"/>
      <c r="D567" s="17" t="e" cm="1">
        <f t="array" ref="D567">_xlfn.IFS(AND(InvestorTable[[#This Row],[Investor Tally '#]] = 'Payment Tracker'!$A567, 'Payment Tracker'!$C567="Dividend") = TRUE, InvestorTable[[#This Row],[Monthly ROI (₦)]], AND(InvestorTable[[#This Row],[Investor Tally '#]] = 'Payment Tracker'!$A567, 'Payment Tracker'!$C567="Capital") = TRUE, InvestorTable[[#This Row],[Investment Capital (₦)]], AND(InvestorTable[[#This Row],[Investor Tally '#]] = 'Payment Tracker'!$A567, 'Payment Tracker'!$C567="Refund") = TRUE, InvestorTable[[#This Row],[Investment Capital (₦)]] )</f>
        <v>#N/A</v>
      </c>
      <c r="E567" s="15"/>
      <c r="F567" s="14"/>
      <c r="G567" s="14"/>
      <c r="H567" s="14"/>
    </row>
    <row r="568" spans="1:8" x14ac:dyDescent="0.3">
      <c r="A568" s="13"/>
      <c r="B568" s="16">
        <f>IF($A568=InvestorTable[[#This Row],[Investor Tally '#]],InvestorTable[[#This Row],[Investor Name]], NA())</f>
        <v>0</v>
      </c>
      <c r="C568" s="14"/>
      <c r="D568" s="17" t="e" cm="1">
        <f t="array" ref="D568">_xlfn.IFS(AND(InvestorTable[[#This Row],[Investor Tally '#]] = 'Payment Tracker'!$A568, 'Payment Tracker'!$C568="Dividend") = TRUE, InvestorTable[[#This Row],[Monthly ROI (₦)]], AND(InvestorTable[[#This Row],[Investor Tally '#]] = 'Payment Tracker'!$A568, 'Payment Tracker'!$C568="Capital") = TRUE, InvestorTable[[#This Row],[Investment Capital (₦)]], AND(InvestorTable[[#This Row],[Investor Tally '#]] = 'Payment Tracker'!$A568, 'Payment Tracker'!$C568="Refund") = TRUE, InvestorTable[[#This Row],[Investment Capital (₦)]] )</f>
        <v>#N/A</v>
      </c>
      <c r="E568" s="15"/>
      <c r="F568" s="14"/>
      <c r="G568" s="14"/>
      <c r="H568" s="14"/>
    </row>
    <row r="569" spans="1:8" x14ac:dyDescent="0.3">
      <c r="A569" s="13"/>
      <c r="B569" s="16">
        <f>IF($A569=InvestorTable[[#This Row],[Investor Tally '#]],InvestorTable[[#This Row],[Investor Name]], NA())</f>
        <v>0</v>
      </c>
      <c r="C569" s="14"/>
      <c r="D569" s="17" t="e" cm="1">
        <f t="array" ref="D569">_xlfn.IFS(AND(InvestorTable[[#This Row],[Investor Tally '#]] = 'Payment Tracker'!$A569, 'Payment Tracker'!$C569="Dividend") = TRUE, InvestorTable[[#This Row],[Monthly ROI (₦)]], AND(InvestorTable[[#This Row],[Investor Tally '#]] = 'Payment Tracker'!$A569, 'Payment Tracker'!$C569="Capital") = TRUE, InvestorTable[[#This Row],[Investment Capital (₦)]], AND(InvestorTable[[#This Row],[Investor Tally '#]] = 'Payment Tracker'!$A569, 'Payment Tracker'!$C569="Refund") = TRUE, InvestorTable[[#This Row],[Investment Capital (₦)]] )</f>
        <v>#N/A</v>
      </c>
      <c r="E569" s="15"/>
      <c r="F569" s="14"/>
      <c r="G569" s="14"/>
      <c r="H569" s="14"/>
    </row>
    <row r="570" spans="1:8" x14ac:dyDescent="0.3">
      <c r="A570" s="13"/>
      <c r="B570" s="16">
        <f>IF($A570=InvestorTable[[#This Row],[Investor Tally '#]],InvestorTable[[#This Row],[Investor Name]], NA())</f>
        <v>0</v>
      </c>
      <c r="C570" s="14"/>
      <c r="D570" s="17" t="e" cm="1">
        <f t="array" ref="D570">_xlfn.IFS(AND(InvestorTable[[#This Row],[Investor Tally '#]] = 'Payment Tracker'!$A570, 'Payment Tracker'!$C570="Dividend") = TRUE, InvestorTable[[#This Row],[Monthly ROI (₦)]], AND(InvestorTable[[#This Row],[Investor Tally '#]] = 'Payment Tracker'!$A570, 'Payment Tracker'!$C570="Capital") = TRUE, InvestorTable[[#This Row],[Investment Capital (₦)]], AND(InvestorTable[[#This Row],[Investor Tally '#]] = 'Payment Tracker'!$A570, 'Payment Tracker'!$C570="Refund") = TRUE, InvestorTable[[#This Row],[Investment Capital (₦)]] )</f>
        <v>#N/A</v>
      </c>
      <c r="E570" s="15"/>
      <c r="F570" s="14"/>
      <c r="G570" s="14"/>
      <c r="H570" s="14"/>
    </row>
    <row r="571" spans="1:8" x14ac:dyDescent="0.3">
      <c r="A571" s="13"/>
      <c r="B571" s="16">
        <f>IF($A571=InvestorTable[[#This Row],[Investor Tally '#]],InvestorTable[[#This Row],[Investor Name]], NA())</f>
        <v>0</v>
      </c>
      <c r="C571" s="14"/>
      <c r="D571" s="17" t="e" cm="1">
        <f t="array" ref="D571">_xlfn.IFS(AND(InvestorTable[[#This Row],[Investor Tally '#]] = 'Payment Tracker'!$A571, 'Payment Tracker'!$C571="Dividend") = TRUE, InvestorTable[[#This Row],[Monthly ROI (₦)]], AND(InvestorTable[[#This Row],[Investor Tally '#]] = 'Payment Tracker'!$A571, 'Payment Tracker'!$C571="Capital") = TRUE, InvestorTable[[#This Row],[Investment Capital (₦)]], AND(InvestorTable[[#This Row],[Investor Tally '#]] = 'Payment Tracker'!$A571, 'Payment Tracker'!$C571="Refund") = TRUE, InvestorTable[[#This Row],[Investment Capital (₦)]] )</f>
        <v>#N/A</v>
      </c>
      <c r="E571" s="15"/>
      <c r="F571" s="14"/>
      <c r="G571" s="14"/>
      <c r="H571" s="14"/>
    </row>
    <row r="572" spans="1:8" x14ac:dyDescent="0.3">
      <c r="A572" s="13"/>
      <c r="B572" s="16">
        <f>IF($A572=InvestorTable[[#This Row],[Investor Tally '#]],InvestorTable[[#This Row],[Investor Name]], NA())</f>
        <v>0</v>
      </c>
      <c r="C572" s="14"/>
      <c r="D572" s="17" t="e" cm="1">
        <f t="array" ref="D572">_xlfn.IFS(AND(InvestorTable[[#This Row],[Investor Tally '#]] = 'Payment Tracker'!$A572, 'Payment Tracker'!$C572="Dividend") = TRUE, InvestorTable[[#This Row],[Monthly ROI (₦)]], AND(InvestorTable[[#This Row],[Investor Tally '#]] = 'Payment Tracker'!$A572, 'Payment Tracker'!$C572="Capital") = TRUE, InvestorTable[[#This Row],[Investment Capital (₦)]], AND(InvestorTable[[#This Row],[Investor Tally '#]] = 'Payment Tracker'!$A572, 'Payment Tracker'!$C572="Refund") = TRUE, InvestorTable[[#This Row],[Investment Capital (₦)]] )</f>
        <v>#N/A</v>
      </c>
      <c r="E572" s="15"/>
      <c r="F572" s="14"/>
      <c r="G572" s="14"/>
      <c r="H572" s="14"/>
    </row>
    <row r="573" spans="1:8" x14ac:dyDescent="0.3">
      <c r="A573" s="13"/>
      <c r="B573" s="16">
        <f>IF($A573=InvestorTable[[#This Row],[Investor Tally '#]],InvestorTable[[#This Row],[Investor Name]], NA())</f>
        <v>0</v>
      </c>
      <c r="C573" s="14"/>
      <c r="D573" s="17" t="e" cm="1">
        <f t="array" ref="D573">_xlfn.IFS(AND(InvestorTable[[#This Row],[Investor Tally '#]] = 'Payment Tracker'!$A573, 'Payment Tracker'!$C573="Dividend") = TRUE, InvestorTable[[#This Row],[Monthly ROI (₦)]], AND(InvestorTable[[#This Row],[Investor Tally '#]] = 'Payment Tracker'!$A573, 'Payment Tracker'!$C573="Capital") = TRUE, InvestorTable[[#This Row],[Investment Capital (₦)]], AND(InvestorTable[[#This Row],[Investor Tally '#]] = 'Payment Tracker'!$A573, 'Payment Tracker'!$C573="Refund") = TRUE, InvestorTable[[#This Row],[Investment Capital (₦)]] )</f>
        <v>#N/A</v>
      </c>
      <c r="E573" s="15"/>
      <c r="F573" s="14"/>
      <c r="G573" s="14"/>
      <c r="H573" s="14"/>
    </row>
    <row r="574" spans="1:8" x14ac:dyDescent="0.3">
      <c r="A574" s="13"/>
      <c r="B574" s="16">
        <f>IF($A574=InvestorTable[[#This Row],[Investor Tally '#]],InvestorTable[[#This Row],[Investor Name]], NA())</f>
        <v>0</v>
      </c>
      <c r="C574" s="14"/>
      <c r="D574" s="17" t="e" cm="1">
        <f t="array" ref="D574">_xlfn.IFS(AND(InvestorTable[[#This Row],[Investor Tally '#]] = 'Payment Tracker'!$A574, 'Payment Tracker'!$C574="Dividend") = TRUE, InvestorTable[[#This Row],[Monthly ROI (₦)]], AND(InvestorTable[[#This Row],[Investor Tally '#]] = 'Payment Tracker'!$A574, 'Payment Tracker'!$C574="Capital") = TRUE, InvestorTable[[#This Row],[Investment Capital (₦)]], AND(InvestorTable[[#This Row],[Investor Tally '#]] = 'Payment Tracker'!$A574, 'Payment Tracker'!$C574="Refund") = TRUE, InvestorTable[[#This Row],[Investment Capital (₦)]] )</f>
        <v>#N/A</v>
      </c>
      <c r="E574" s="15"/>
      <c r="F574" s="14"/>
      <c r="G574" s="14"/>
      <c r="H574" s="14"/>
    </row>
    <row r="575" spans="1:8" x14ac:dyDescent="0.3">
      <c r="A575" s="13"/>
      <c r="B575" s="16">
        <f>IF($A575=InvestorTable[[#This Row],[Investor Tally '#]],InvestorTable[[#This Row],[Investor Name]], NA())</f>
        <v>0</v>
      </c>
      <c r="C575" s="14"/>
      <c r="D575" s="17" t="e" cm="1">
        <f t="array" ref="D575">_xlfn.IFS(AND(InvestorTable[[#This Row],[Investor Tally '#]] = 'Payment Tracker'!$A575, 'Payment Tracker'!$C575="Dividend") = TRUE, InvestorTable[[#This Row],[Monthly ROI (₦)]], AND(InvestorTable[[#This Row],[Investor Tally '#]] = 'Payment Tracker'!$A575, 'Payment Tracker'!$C575="Capital") = TRUE, InvestorTable[[#This Row],[Investment Capital (₦)]], AND(InvestorTable[[#This Row],[Investor Tally '#]] = 'Payment Tracker'!$A575, 'Payment Tracker'!$C575="Refund") = TRUE, InvestorTable[[#This Row],[Investment Capital (₦)]] )</f>
        <v>#N/A</v>
      </c>
      <c r="E575" s="15"/>
      <c r="F575" s="14"/>
      <c r="G575" s="14"/>
      <c r="H575" s="14"/>
    </row>
    <row r="576" spans="1:8" x14ac:dyDescent="0.3">
      <c r="A576" s="13"/>
      <c r="B576" s="16">
        <f>IF($A576=InvestorTable[[#This Row],[Investor Tally '#]],InvestorTable[[#This Row],[Investor Name]], NA())</f>
        <v>0</v>
      </c>
      <c r="C576" s="14"/>
      <c r="D576" s="17" t="e" cm="1">
        <f t="array" ref="D576">_xlfn.IFS(AND(InvestorTable[[#This Row],[Investor Tally '#]] = 'Payment Tracker'!$A576, 'Payment Tracker'!$C576="Dividend") = TRUE, InvestorTable[[#This Row],[Monthly ROI (₦)]], AND(InvestorTable[[#This Row],[Investor Tally '#]] = 'Payment Tracker'!$A576, 'Payment Tracker'!$C576="Capital") = TRUE, InvestorTable[[#This Row],[Investment Capital (₦)]], AND(InvestorTable[[#This Row],[Investor Tally '#]] = 'Payment Tracker'!$A576, 'Payment Tracker'!$C576="Refund") = TRUE, InvestorTable[[#This Row],[Investment Capital (₦)]] )</f>
        <v>#N/A</v>
      </c>
      <c r="E576" s="15"/>
      <c r="F576" s="14"/>
      <c r="G576" s="14"/>
      <c r="H576" s="14"/>
    </row>
    <row r="577" spans="1:8" x14ac:dyDescent="0.3">
      <c r="A577" s="13"/>
      <c r="B577" s="16">
        <f>IF($A577=InvestorTable[[#This Row],[Investor Tally '#]],InvestorTable[[#This Row],[Investor Name]], NA())</f>
        <v>0</v>
      </c>
      <c r="C577" s="14"/>
      <c r="D577" s="17" t="e" cm="1">
        <f t="array" ref="D577">_xlfn.IFS(AND(InvestorTable[[#This Row],[Investor Tally '#]] = 'Payment Tracker'!$A577, 'Payment Tracker'!$C577="Dividend") = TRUE, InvestorTable[[#This Row],[Monthly ROI (₦)]], AND(InvestorTable[[#This Row],[Investor Tally '#]] = 'Payment Tracker'!$A577, 'Payment Tracker'!$C577="Capital") = TRUE, InvestorTable[[#This Row],[Investment Capital (₦)]], AND(InvestorTable[[#This Row],[Investor Tally '#]] = 'Payment Tracker'!$A577, 'Payment Tracker'!$C577="Refund") = TRUE, InvestorTable[[#This Row],[Investment Capital (₦)]] )</f>
        <v>#N/A</v>
      </c>
      <c r="E577" s="15"/>
      <c r="F577" s="14"/>
      <c r="G577" s="14"/>
      <c r="H577" s="14"/>
    </row>
    <row r="578" spans="1:8" x14ac:dyDescent="0.3">
      <c r="A578" s="13"/>
      <c r="B578" s="16">
        <f>IF($A578=InvestorTable[[#This Row],[Investor Tally '#]],InvestorTable[[#This Row],[Investor Name]], NA())</f>
        <v>0</v>
      </c>
      <c r="C578" s="14"/>
      <c r="D578" s="17" t="e" cm="1">
        <f t="array" ref="D578">_xlfn.IFS(AND(InvestorTable[[#This Row],[Investor Tally '#]] = 'Payment Tracker'!$A578, 'Payment Tracker'!$C578="Dividend") = TRUE, InvestorTable[[#This Row],[Monthly ROI (₦)]], AND(InvestorTable[[#This Row],[Investor Tally '#]] = 'Payment Tracker'!$A578, 'Payment Tracker'!$C578="Capital") = TRUE, InvestorTable[[#This Row],[Investment Capital (₦)]], AND(InvestorTable[[#This Row],[Investor Tally '#]] = 'Payment Tracker'!$A578, 'Payment Tracker'!$C578="Refund") = TRUE, InvestorTable[[#This Row],[Investment Capital (₦)]] )</f>
        <v>#N/A</v>
      </c>
      <c r="E578" s="15"/>
      <c r="F578" s="14"/>
      <c r="G578" s="14"/>
      <c r="H578" s="14"/>
    </row>
    <row r="579" spans="1:8" x14ac:dyDescent="0.3">
      <c r="A579" s="13"/>
      <c r="B579" s="16">
        <f>IF($A579=InvestorTable[[#This Row],[Investor Tally '#]],InvestorTable[[#This Row],[Investor Name]], NA())</f>
        <v>0</v>
      </c>
      <c r="C579" s="14"/>
      <c r="D579" s="17" t="e" cm="1">
        <f t="array" ref="D579">_xlfn.IFS(AND(InvestorTable[[#This Row],[Investor Tally '#]] = 'Payment Tracker'!$A579, 'Payment Tracker'!$C579="Dividend") = TRUE, InvestorTable[[#This Row],[Monthly ROI (₦)]], AND(InvestorTable[[#This Row],[Investor Tally '#]] = 'Payment Tracker'!$A579, 'Payment Tracker'!$C579="Capital") = TRUE, InvestorTable[[#This Row],[Investment Capital (₦)]], AND(InvestorTable[[#This Row],[Investor Tally '#]] = 'Payment Tracker'!$A579, 'Payment Tracker'!$C579="Refund") = TRUE, InvestorTable[[#This Row],[Investment Capital (₦)]] )</f>
        <v>#N/A</v>
      </c>
      <c r="E579" s="15"/>
      <c r="F579" s="14"/>
      <c r="G579" s="14"/>
      <c r="H579" s="14"/>
    </row>
    <row r="580" spans="1:8" x14ac:dyDescent="0.3">
      <c r="A580" s="13"/>
      <c r="B580" s="16">
        <f>IF($A580=InvestorTable[[#This Row],[Investor Tally '#]],InvestorTable[[#This Row],[Investor Name]], NA())</f>
        <v>0</v>
      </c>
      <c r="C580" s="14"/>
      <c r="D580" s="17" t="e" cm="1">
        <f t="array" ref="D580">_xlfn.IFS(AND(InvestorTable[[#This Row],[Investor Tally '#]] = 'Payment Tracker'!$A580, 'Payment Tracker'!$C580="Dividend") = TRUE, InvestorTable[[#This Row],[Monthly ROI (₦)]], AND(InvestorTable[[#This Row],[Investor Tally '#]] = 'Payment Tracker'!$A580, 'Payment Tracker'!$C580="Capital") = TRUE, InvestorTable[[#This Row],[Investment Capital (₦)]], AND(InvestorTable[[#This Row],[Investor Tally '#]] = 'Payment Tracker'!$A580, 'Payment Tracker'!$C580="Refund") = TRUE, InvestorTable[[#This Row],[Investment Capital (₦)]] )</f>
        <v>#N/A</v>
      </c>
      <c r="E580" s="15"/>
      <c r="F580" s="14"/>
      <c r="G580" s="14"/>
      <c r="H580" s="14"/>
    </row>
    <row r="581" spans="1:8" x14ac:dyDescent="0.3">
      <c r="A581" s="13"/>
      <c r="B581" s="16">
        <f>IF($A581=InvestorTable[[#This Row],[Investor Tally '#]],InvestorTable[[#This Row],[Investor Name]], NA())</f>
        <v>0</v>
      </c>
      <c r="C581" s="14"/>
      <c r="D581" s="17" t="e" cm="1">
        <f t="array" ref="D581">_xlfn.IFS(AND(InvestorTable[[#This Row],[Investor Tally '#]] = 'Payment Tracker'!$A581, 'Payment Tracker'!$C581="Dividend") = TRUE, InvestorTable[[#This Row],[Monthly ROI (₦)]], AND(InvestorTable[[#This Row],[Investor Tally '#]] = 'Payment Tracker'!$A581, 'Payment Tracker'!$C581="Capital") = TRUE, InvestorTable[[#This Row],[Investment Capital (₦)]], AND(InvestorTable[[#This Row],[Investor Tally '#]] = 'Payment Tracker'!$A581, 'Payment Tracker'!$C581="Refund") = TRUE, InvestorTable[[#This Row],[Investment Capital (₦)]] )</f>
        <v>#N/A</v>
      </c>
      <c r="E581" s="15"/>
      <c r="F581" s="14"/>
      <c r="G581" s="14"/>
      <c r="H581" s="14"/>
    </row>
    <row r="582" spans="1:8" x14ac:dyDescent="0.3">
      <c r="A582" s="13"/>
      <c r="B582" s="16">
        <f>IF($A582=InvestorTable[[#This Row],[Investor Tally '#]],InvestorTable[[#This Row],[Investor Name]], NA())</f>
        <v>0</v>
      </c>
      <c r="C582" s="14"/>
      <c r="D582" s="17" t="e" cm="1">
        <f t="array" ref="D582">_xlfn.IFS(AND(InvestorTable[[#This Row],[Investor Tally '#]] = 'Payment Tracker'!$A582, 'Payment Tracker'!$C582="Dividend") = TRUE, InvestorTable[[#This Row],[Monthly ROI (₦)]], AND(InvestorTable[[#This Row],[Investor Tally '#]] = 'Payment Tracker'!$A582, 'Payment Tracker'!$C582="Capital") = TRUE, InvestorTable[[#This Row],[Investment Capital (₦)]], AND(InvestorTable[[#This Row],[Investor Tally '#]] = 'Payment Tracker'!$A582, 'Payment Tracker'!$C582="Refund") = TRUE, InvestorTable[[#This Row],[Investment Capital (₦)]] )</f>
        <v>#N/A</v>
      </c>
      <c r="E582" s="15"/>
      <c r="F582" s="14"/>
      <c r="G582" s="14"/>
      <c r="H582" s="14"/>
    </row>
    <row r="583" spans="1:8" x14ac:dyDescent="0.3">
      <c r="A583" s="13"/>
      <c r="B583" s="16">
        <f>IF($A583=InvestorTable[[#This Row],[Investor Tally '#]],InvestorTable[[#This Row],[Investor Name]], NA())</f>
        <v>0</v>
      </c>
      <c r="C583" s="14"/>
      <c r="D583" s="17" t="e" cm="1">
        <f t="array" ref="D583">_xlfn.IFS(AND(InvestorTable[[#This Row],[Investor Tally '#]] = 'Payment Tracker'!$A583, 'Payment Tracker'!$C583="Dividend") = TRUE, InvestorTable[[#This Row],[Monthly ROI (₦)]], AND(InvestorTable[[#This Row],[Investor Tally '#]] = 'Payment Tracker'!$A583, 'Payment Tracker'!$C583="Capital") = TRUE, InvestorTable[[#This Row],[Investment Capital (₦)]], AND(InvestorTable[[#This Row],[Investor Tally '#]] = 'Payment Tracker'!$A583, 'Payment Tracker'!$C583="Refund") = TRUE, InvestorTable[[#This Row],[Investment Capital (₦)]] )</f>
        <v>#N/A</v>
      </c>
      <c r="E583" s="15"/>
      <c r="F583" s="14"/>
      <c r="G583" s="14"/>
      <c r="H583" s="14"/>
    </row>
    <row r="584" spans="1:8" x14ac:dyDescent="0.3">
      <c r="A584" s="13"/>
      <c r="B584" s="16">
        <f>IF($A584=InvestorTable[[#This Row],[Investor Tally '#]],InvestorTable[[#This Row],[Investor Name]], NA())</f>
        <v>0</v>
      </c>
      <c r="C584" s="14"/>
      <c r="D584" s="17" t="e" cm="1">
        <f t="array" ref="D584">_xlfn.IFS(AND(InvestorTable[[#This Row],[Investor Tally '#]] = 'Payment Tracker'!$A584, 'Payment Tracker'!$C584="Dividend") = TRUE, InvestorTable[[#This Row],[Monthly ROI (₦)]], AND(InvestorTable[[#This Row],[Investor Tally '#]] = 'Payment Tracker'!$A584, 'Payment Tracker'!$C584="Capital") = TRUE, InvestorTable[[#This Row],[Investment Capital (₦)]], AND(InvestorTable[[#This Row],[Investor Tally '#]] = 'Payment Tracker'!$A584, 'Payment Tracker'!$C584="Refund") = TRUE, InvestorTable[[#This Row],[Investment Capital (₦)]] )</f>
        <v>#N/A</v>
      </c>
      <c r="E584" s="15"/>
      <c r="F584" s="14"/>
      <c r="G584" s="14"/>
      <c r="H584" s="14"/>
    </row>
    <row r="585" spans="1:8" x14ac:dyDescent="0.3">
      <c r="A585" s="13"/>
      <c r="B585" s="16">
        <f>IF($A585=InvestorTable[[#This Row],[Investor Tally '#]],InvestorTable[[#This Row],[Investor Name]], NA())</f>
        <v>0</v>
      </c>
      <c r="C585" s="14"/>
      <c r="D585" s="17" t="e" cm="1">
        <f t="array" ref="D585">_xlfn.IFS(AND(InvestorTable[[#This Row],[Investor Tally '#]] = 'Payment Tracker'!$A585, 'Payment Tracker'!$C585="Dividend") = TRUE, InvestorTable[[#This Row],[Monthly ROI (₦)]], AND(InvestorTable[[#This Row],[Investor Tally '#]] = 'Payment Tracker'!$A585, 'Payment Tracker'!$C585="Capital") = TRUE, InvestorTable[[#This Row],[Investment Capital (₦)]], AND(InvestorTable[[#This Row],[Investor Tally '#]] = 'Payment Tracker'!$A585, 'Payment Tracker'!$C585="Refund") = TRUE, InvestorTable[[#This Row],[Investment Capital (₦)]] )</f>
        <v>#N/A</v>
      </c>
      <c r="E585" s="15"/>
      <c r="F585" s="14"/>
      <c r="G585" s="14"/>
      <c r="H585" s="14"/>
    </row>
    <row r="586" spans="1:8" x14ac:dyDescent="0.3">
      <c r="A586" s="13"/>
      <c r="B586" s="16">
        <f>IF($A586=InvestorTable[[#This Row],[Investor Tally '#]],InvestorTable[[#This Row],[Investor Name]], NA())</f>
        <v>0</v>
      </c>
      <c r="C586" s="14"/>
      <c r="D586" s="17" t="e" cm="1">
        <f t="array" ref="D586">_xlfn.IFS(AND(InvestorTable[[#This Row],[Investor Tally '#]] = 'Payment Tracker'!$A586, 'Payment Tracker'!$C586="Dividend") = TRUE, InvestorTable[[#This Row],[Monthly ROI (₦)]], AND(InvestorTable[[#This Row],[Investor Tally '#]] = 'Payment Tracker'!$A586, 'Payment Tracker'!$C586="Capital") = TRUE, InvestorTable[[#This Row],[Investment Capital (₦)]], AND(InvestorTable[[#This Row],[Investor Tally '#]] = 'Payment Tracker'!$A586, 'Payment Tracker'!$C586="Refund") = TRUE, InvestorTable[[#This Row],[Investment Capital (₦)]] )</f>
        <v>#N/A</v>
      </c>
      <c r="E586" s="15"/>
      <c r="F586" s="14"/>
      <c r="G586" s="14"/>
      <c r="H586" s="14"/>
    </row>
    <row r="587" spans="1:8" x14ac:dyDescent="0.3">
      <c r="A587" s="13"/>
      <c r="B587" s="16">
        <f>IF($A587=InvestorTable[[#This Row],[Investor Tally '#]],InvestorTable[[#This Row],[Investor Name]], NA())</f>
        <v>0</v>
      </c>
      <c r="C587" s="14"/>
      <c r="D587" s="17" t="e" cm="1">
        <f t="array" ref="D587">_xlfn.IFS(AND(InvestorTable[[#This Row],[Investor Tally '#]] = 'Payment Tracker'!$A587, 'Payment Tracker'!$C587="Dividend") = TRUE, InvestorTable[[#This Row],[Monthly ROI (₦)]], AND(InvestorTable[[#This Row],[Investor Tally '#]] = 'Payment Tracker'!$A587, 'Payment Tracker'!$C587="Capital") = TRUE, InvestorTable[[#This Row],[Investment Capital (₦)]], AND(InvestorTable[[#This Row],[Investor Tally '#]] = 'Payment Tracker'!$A587, 'Payment Tracker'!$C587="Refund") = TRUE, InvestorTable[[#This Row],[Investment Capital (₦)]] )</f>
        <v>#N/A</v>
      </c>
      <c r="E587" s="15"/>
      <c r="F587" s="14"/>
      <c r="G587" s="14"/>
      <c r="H587" s="14"/>
    </row>
    <row r="588" spans="1:8" x14ac:dyDescent="0.3">
      <c r="A588" s="13"/>
      <c r="B588" s="16">
        <f>IF($A588=InvestorTable[[#This Row],[Investor Tally '#]],InvestorTable[[#This Row],[Investor Name]], NA())</f>
        <v>0</v>
      </c>
      <c r="C588" s="14"/>
      <c r="D588" s="17" t="e" cm="1">
        <f t="array" ref="D588">_xlfn.IFS(AND(InvestorTable[[#This Row],[Investor Tally '#]] = 'Payment Tracker'!$A588, 'Payment Tracker'!$C588="Dividend") = TRUE, InvestorTable[[#This Row],[Monthly ROI (₦)]], AND(InvestorTable[[#This Row],[Investor Tally '#]] = 'Payment Tracker'!$A588, 'Payment Tracker'!$C588="Capital") = TRUE, InvestorTable[[#This Row],[Investment Capital (₦)]], AND(InvestorTable[[#This Row],[Investor Tally '#]] = 'Payment Tracker'!$A588, 'Payment Tracker'!$C588="Refund") = TRUE, InvestorTable[[#This Row],[Investment Capital (₦)]] )</f>
        <v>#N/A</v>
      </c>
      <c r="E588" s="15"/>
      <c r="F588" s="14"/>
      <c r="G588" s="14"/>
      <c r="H588" s="14"/>
    </row>
    <row r="589" spans="1:8" x14ac:dyDescent="0.3">
      <c r="A589" s="13"/>
      <c r="B589" s="16">
        <f>IF($A589=InvestorTable[[#This Row],[Investor Tally '#]],InvestorTable[[#This Row],[Investor Name]], NA())</f>
        <v>0</v>
      </c>
      <c r="C589" s="14"/>
      <c r="D589" s="17" t="e" cm="1">
        <f t="array" ref="D589">_xlfn.IFS(AND(InvestorTable[[#This Row],[Investor Tally '#]] = 'Payment Tracker'!$A589, 'Payment Tracker'!$C589="Dividend") = TRUE, InvestorTable[[#This Row],[Monthly ROI (₦)]], AND(InvestorTable[[#This Row],[Investor Tally '#]] = 'Payment Tracker'!$A589, 'Payment Tracker'!$C589="Capital") = TRUE, InvestorTable[[#This Row],[Investment Capital (₦)]], AND(InvestorTable[[#This Row],[Investor Tally '#]] = 'Payment Tracker'!$A589, 'Payment Tracker'!$C589="Refund") = TRUE, InvestorTable[[#This Row],[Investment Capital (₦)]] )</f>
        <v>#N/A</v>
      </c>
      <c r="E589" s="15"/>
      <c r="F589" s="14"/>
      <c r="G589" s="14"/>
      <c r="H589" s="14"/>
    </row>
    <row r="590" spans="1:8" x14ac:dyDescent="0.3">
      <c r="A590" s="13"/>
      <c r="B590" s="16">
        <f>IF($A590=InvestorTable[[#This Row],[Investor Tally '#]],InvestorTable[[#This Row],[Investor Name]], NA())</f>
        <v>0</v>
      </c>
      <c r="C590" s="14"/>
      <c r="D590" s="17" t="e" cm="1">
        <f t="array" ref="D590">_xlfn.IFS(AND(InvestorTable[[#This Row],[Investor Tally '#]] = 'Payment Tracker'!$A590, 'Payment Tracker'!$C590="Dividend") = TRUE, InvestorTable[[#This Row],[Monthly ROI (₦)]], AND(InvestorTable[[#This Row],[Investor Tally '#]] = 'Payment Tracker'!$A590, 'Payment Tracker'!$C590="Capital") = TRUE, InvestorTable[[#This Row],[Investment Capital (₦)]], AND(InvestorTable[[#This Row],[Investor Tally '#]] = 'Payment Tracker'!$A590, 'Payment Tracker'!$C590="Refund") = TRUE, InvestorTable[[#This Row],[Investment Capital (₦)]] )</f>
        <v>#N/A</v>
      </c>
      <c r="E590" s="15"/>
      <c r="F590" s="14"/>
      <c r="G590" s="14"/>
      <c r="H590" s="14"/>
    </row>
    <row r="591" spans="1:8" x14ac:dyDescent="0.3">
      <c r="A591" s="13"/>
      <c r="B591" s="16">
        <f>IF($A591=InvestorTable[[#This Row],[Investor Tally '#]],InvestorTable[[#This Row],[Investor Name]], NA())</f>
        <v>0</v>
      </c>
      <c r="C591" s="14"/>
      <c r="D591" s="17" t="e" cm="1">
        <f t="array" ref="D591">_xlfn.IFS(AND(InvestorTable[[#This Row],[Investor Tally '#]] = 'Payment Tracker'!$A591, 'Payment Tracker'!$C591="Dividend") = TRUE, InvestorTable[[#This Row],[Monthly ROI (₦)]], AND(InvestorTable[[#This Row],[Investor Tally '#]] = 'Payment Tracker'!$A591, 'Payment Tracker'!$C591="Capital") = TRUE, InvestorTable[[#This Row],[Investment Capital (₦)]], AND(InvestorTable[[#This Row],[Investor Tally '#]] = 'Payment Tracker'!$A591, 'Payment Tracker'!$C591="Refund") = TRUE, InvestorTable[[#This Row],[Investment Capital (₦)]] )</f>
        <v>#N/A</v>
      </c>
      <c r="E591" s="15"/>
      <c r="F591" s="14"/>
      <c r="G591" s="14"/>
      <c r="H591" s="14"/>
    </row>
    <row r="592" spans="1:8" x14ac:dyDescent="0.3">
      <c r="A592" s="13"/>
      <c r="B592" s="16">
        <f>IF($A592=InvestorTable[[#This Row],[Investor Tally '#]],InvestorTable[[#This Row],[Investor Name]], NA())</f>
        <v>0</v>
      </c>
      <c r="C592" s="14"/>
      <c r="D592" s="17" t="e" cm="1">
        <f t="array" ref="D592">_xlfn.IFS(AND(InvestorTable[[#This Row],[Investor Tally '#]] = 'Payment Tracker'!$A592, 'Payment Tracker'!$C592="Dividend") = TRUE, InvestorTable[[#This Row],[Monthly ROI (₦)]], AND(InvestorTable[[#This Row],[Investor Tally '#]] = 'Payment Tracker'!$A592, 'Payment Tracker'!$C592="Capital") = TRUE, InvestorTable[[#This Row],[Investment Capital (₦)]], AND(InvestorTable[[#This Row],[Investor Tally '#]] = 'Payment Tracker'!$A592, 'Payment Tracker'!$C592="Refund") = TRUE, InvestorTable[[#This Row],[Investment Capital (₦)]] )</f>
        <v>#N/A</v>
      </c>
      <c r="E592" s="15"/>
      <c r="F592" s="14"/>
      <c r="G592" s="14"/>
      <c r="H592" s="14"/>
    </row>
    <row r="593" spans="1:8" x14ac:dyDescent="0.3">
      <c r="A593" s="13"/>
      <c r="B593" s="16">
        <f>IF($A593=InvestorTable[[#This Row],[Investor Tally '#]],InvestorTable[[#This Row],[Investor Name]], NA())</f>
        <v>0</v>
      </c>
      <c r="C593" s="14"/>
      <c r="D593" s="17" t="e" cm="1">
        <f t="array" ref="D593">_xlfn.IFS(AND(InvestorTable[[#This Row],[Investor Tally '#]] = 'Payment Tracker'!$A593, 'Payment Tracker'!$C593="Dividend") = TRUE, InvestorTable[[#This Row],[Monthly ROI (₦)]], AND(InvestorTable[[#This Row],[Investor Tally '#]] = 'Payment Tracker'!$A593, 'Payment Tracker'!$C593="Capital") = TRUE, InvestorTable[[#This Row],[Investment Capital (₦)]], AND(InvestorTable[[#This Row],[Investor Tally '#]] = 'Payment Tracker'!$A593, 'Payment Tracker'!$C593="Refund") = TRUE, InvestorTable[[#This Row],[Investment Capital (₦)]] )</f>
        <v>#N/A</v>
      </c>
      <c r="E593" s="15"/>
      <c r="F593" s="14"/>
      <c r="G593" s="14"/>
      <c r="H593" s="14"/>
    </row>
    <row r="594" spans="1:8" x14ac:dyDescent="0.3">
      <c r="A594" s="13"/>
      <c r="B594" s="16">
        <f>IF($A594=InvestorTable[[#This Row],[Investor Tally '#]],InvestorTable[[#This Row],[Investor Name]], NA())</f>
        <v>0</v>
      </c>
      <c r="C594" s="14"/>
      <c r="D594" s="17" t="e" cm="1">
        <f t="array" ref="D594">_xlfn.IFS(AND(InvestorTable[[#This Row],[Investor Tally '#]] = 'Payment Tracker'!$A594, 'Payment Tracker'!$C594="Dividend") = TRUE, InvestorTable[[#This Row],[Monthly ROI (₦)]], AND(InvestorTable[[#This Row],[Investor Tally '#]] = 'Payment Tracker'!$A594, 'Payment Tracker'!$C594="Capital") = TRUE, InvestorTable[[#This Row],[Investment Capital (₦)]], AND(InvestorTable[[#This Row],[Investor Tally '#]] = 'Payment Tracker'!$A594, 'Payment Tracker'!$C594="Refund") = TRUE, InvestorTable[[#This Row],[Investment Capital (₦)]] )</f>
        <v>#N/A</v>
      </c>
      <c r="E594" s="15"/>
      <c r="F594" s="14"/>
      <c r="G594" s="14"/>
      <c r="H594" s="14"/>
    </row>
    <row r="595" spans="1:8" x14ac:dyDescent="0.3">
      <c r="A595" s="13"/>
      <c r="B595" s="16">
        <f>IF($A595=InvestorTable[[#This Row],[Investor Tally '#]],InvestorTable[[#This Row],[Investor Name]], NA())</f>
        <v>0</v>
      </c>
      <c r="C595" s="14"/>
      <c r="D595" s="17" t="e" cm="1">
        <f t="array" ref="D595">_xlfn.IFS(AND(InvestorTable[[#This Row],[Investor Tally '#]] = 'Payment Tracker'!$A595, 'Payment Tracker'!$C595="Dividend") = TRUE, InvestorTable[[#This Row],[Monthly ROI (₦)]], AND(InvestorTable[[#This Row],[Investor Tally '#]] = 'Payment Tracker'!$A595, 'Payment Tracker'!$C595="Capital") = TRUE, InvestorTable[[#This Row],[Investment Capital (₦)]], AND(InvestorTable[[#This Row],[Investor Tally '#]] = 'Payment Tracker'!$A595, 'Payment Tracker'!$C595="Refund") = TRUE, InvestorTable[[#This Row],[Investment Capital (₦)]] )</f>
        <v>#N/A</v>
      </c>
      <c r="E595" s="15"/>
      <c r="F595" s="14"/>
      <c r="G595" s="14"/>
      <c r="H595" s="14"/>
    </row>
    <row r="596" spans="1:8" x14ac:dyDescent="0.3">
      <c r="A596" s="13"/>
      <c r="B596" s="16">
        <f>IF($A596=InvestorTable[[#This Row],[Investor Tally '#]],InvestorTable[[#This Row],[Investor Name]], NA())</f>
        <v>0</v>
      </c>
      <c r="C596" s="14"/>
      <c r="D596" s="17" t="e" cm="1">
        <f t="array" ref="D596">_xlfn.IFS(AND(InvestorTable[[#This Row],[Investor Tally '#]] = 'Payment Tracker'!$A596, 'Payment Tracker'!$C596="Dividend") = TRUE, InvestorTable[[#This Row],[Monthly ROI (₦)]], AND(InvestorTable[[#This Row],[Investor Tally '#]] = 'Payment Tracker'!$A596, 'Payment Tracker'!$C596="Capital") = TRUE, InvestorTable[[#This Row],[Investment Capital (₦)]], AND(InvestorTable[[#This Row],[Investor Tally '#]] = 'Payment Tracker'!$A596, 'Payment Tracker'!$C596="Refund") = TRUE, InvestorTable[[#This Row],[Investment Capital (₦)]] )</f>
        <v>#N/A</v>
      </c>
      <c r="E596" s="15"/>
      <c r="F596" s="14"/>
      <c r="G596" s="14"/>
      <c r="H596" s="14"/>
    </row>
    <row r="597" spans="1:8" x14ac:dyDescent="0.3">
      <c r="A597" s="13"/>
      <c r="B597" s="16">
        <f>IF($A597=InvestorTable[[#This Row],[Investor Tally '#]],InvestorTable[[#This Row],[Investor Name]], NA())</f>
        <v>0</v>
      </c>
      <c r="C597" s="14"/>
      <c r="D597" s="17" t="e" cm="1">
        <f t="array" ref="D597">_xlfn.IFS(AND(InvestorTable[[#This Row],[Investor Tally '#]] = 'Payment Tracker'!$A597, 'Payment Tracker'!$C597="Dividend") = TRUE, InvestorTable[[#This Row],[Monthly ROI (₦)]], AND(InvestorTable[[#This Row],[Investor Tally '#]] = 'Payment Tracker'!$A597, 'Payment Tracker'!$C597="Capital") = TRUE, InvestorTable[[#This Row],[Investment Capital (₦)]], AND(InvestorTable[[#This Row],[Investor Tally '#]] = 'Payment Tracker'!$A597, 'Payment Tracker'!$C597="Refund") = TRUE, InvestorTable[[#This Row],[Investment Capital (₦)]] )</f>
        <v>#N/A</v>
      </c>
      <c r="E597" s="15"/>
      <c r="F597" s="14"/>
      <c r="G597" s="14"/>
      <c r="H597" s="14"/>
    </row>
    <row r="598" spans="1:8" x14ac:dyDescent="0.3">
      <c r="A598" s="13"/>
      <c r="B598" s="16">
        <f>IF($A598=InvestorTable[[#This Row],[Investor Tally '#]],InvestorTable[[#This Row],[Investor Name]], NA())</f>
        <v>0</v>
      </c>
      <c r="C598" s="14"/>
      <c r="D598" s="17" t="e" cm="1">
        <f t="array" ref="D598">_xlfn.IFS(AND(InvestorTable[[#This Row],[Investor Tally '#]] = 'Payment Tracker'!$A598, 'Payment Tracker'!$C598="Dividend") = TRUE, InvestorTable[[#This Row],[Monthly ROI (₦)]], AND(InvestorTable[[#This Row],[Investor Tally '#]] = 'Payment Tracker'!$A598, 'Payment Tracker'!$C598="Capital") = TRUE, InvestorTable[[#This Row],[Investment Capital (₦)]], AND(InvestorTable[[#This Row],[Investor Tally '#]] = 'Payment Tracker'!$A598, 'Payment Tracker'!$C598="Refund") = TRUE, InvestorTable[[#This Row],[Investment Capital (₦)]] )</f>
        <v>#N/A</v>
      </c>
      <c r="E598" s="15"/>
      <c r="F598" s="14"/>
      <c r="G598" s="14"/>
      <c r="H598" s="14"/>
    </row>
    <row r="599" spans="1:8" x14ac:dyDescent="0.3">
      <c r="A599" s="13"/>
      <c r="B599" s="16">
        <f>IF($A599=InvestorTable[[#This Row],[Investor Tally '#]],InvestorTable[[#This Row],[Investor Name]], NA())</f>
        <v>0</v>
      </c>
      <c r="C599" s="14"/>
      <c r="D599" s="17" t="e" cm="1">
        <f t="array" ref="D599">_xlfn.IFS(AND(InvestorTable[[#This Row],[Investor Tally '#]] = 'Payment Tracker'!$A599, 'Payment Tracker'!$C599="Dividend") = TRUE, InvestorTable[[#This Row],[Monthly ROI (₦)]], AND(InvestorTable[[#This Row],[Investor Tally '#]] = 'Payment Tracker'!$A599, 'Payment Tracker'!$C599="Capital") = TRUE, InvestorTable[[#This Row],[Investment Capital (₦)]], AND(InvestorTable[[#This Row],[Investor Tally '#]] = 'Payment Tracker'!$A599, 'Payment Tracker'!$C599="Refund") = TRUE, InvestorTable[[#This Row],[Investment Capital (₦)]] )</f>
        <v>#N/A</v>
      </c>
      <c r="E599" s="15"/>
      <c r="F599" s="14"/>
      <c r="G599" s="14"/>
      <c r="H599" s="14"/>
    </row>
    <row r="600" spans="1:8" x14ac:dyDescent="0.3">
      <c r="A600" s="13"/>
      <c r="B600" s="16">
        <f>IF($A600=InvestorTable[[#This Row],[Investor Tally '#]],InvestorTable[[#This Row],[Investor Name]], NA())</f>
        <v>0</v>
      </c>
      <c r="C600" s="14"/>
      <c r="D600" s="17" t="e" cm="1">
        <f t="array" ref="D600">_xlfn.IFS(AND(InvestorTable[[#This Row],[Investor Tally '#]] = 'Payment Tracker'!$A600, 'Payment Tracker'!$C600="Dividend") = TRUE, InvestorTable[[#This Row],[Monthly ROI (₦)]], AND(InvestorTable[[#This Row],[Investor Tally '#]] = 'Payment Tracker'!$A600, 'Payment Tracker'!$C600="Capital") = TRUE, InvestorTable[[#This Row],[Investment Capital (₦)]], AND(InvestorTable[[#This Row],[Investor Tally '#]] = 'Payment Tracker'!$A600, 'Payment Tracker'!$C600="Refund") = TRUE, InvestorTable[[#This Row],[Investment Capital (₦)]] )</f>
        <v>#N/A</v>
      </c>
      <c r="E600" s="15"/>
      <c r="F600" s="14"/>
      <c r="G600" s="14"/>
      <c r="H600" s="14"/>
    </row>
    <row r="601" spans="1:8" x14ac:dyDescent="0.3">
      <c r="A601" s="13"/>
      <c r="B601" s="16">
        <f>IF($A601=InvestorTable[[#This Row],[Investor Tally '#]],InvestorTable[[#This Row],[Investor Name]], NA())</f>
        <v>0</v>
      </c>
      <c r="C601" s="14"/>
      <c r="D601" s="17" t="e" cm="1">
        <f t="array" ref="D601">_xlfn.IFS(AND(InvestorTable[[#This Row],[Investor Tally '#]] = 'Payment Tracker'!$A601, 'Payment Tracker'!$C601="Dividend") = TRUE, InvestorTable[[#This Row],[Monthly ROI (₦)]], AND(InvestorTable[[#This Row],[Investor Tally '#]] = 'Payment Tracker'!$A601, 'Payment Tracker'!$C601="Capital") = TRUE, InvestorTable[[#This Row],[Investment Capital (₦)]], AND(InvestorTable[[#This Row],[Investor Tally '#]] = 'Payment Tracker'!$A601, 'Payment Tracker'!$C601="Refund") = TRUE, InvestorTable[[#This Row],[Investment Capital (₦)]] )</f>
        <v>#N/A</v>
      </c>
      <c r="E601" s="15"/>
      <c r="F601" s="14"/>
      <c r="G601" s="14"/>
      <c r="H601" s="14"/>
    </row>
    <row r="602" spans="1:8" x14ac:dyDescent="0.3">
      <c r="A602" s="13"/>
      <c r="B602" s="16">
        <f>IF($A602=InvestorTable[[#This Row],[Investor Tally '#]],InvestorTable[[#This Row],[Investor Name]], NA())</f>
        <v>0</v>
      </c>
      <c r="C602" s="14"/>
      <c r="D602" s="17" t="e" cm="1">
        <f t="array" ref="D602">_xlfn.IFS(AND(InvestorTable[[#This Row],[Investor Tally '#]] = 'Payment Tracker'!$A602, 'Payment Tracker'!$C602="Dividend") = TRUE, InvestorTable[[#This Row],[Monthly ROI (₦)]], AND(InvestorTable[[#This Row],[Investor Tally '#]] = 'Payment Tracker'!$A602, 'Payment Tracker'!$C602="Capital") = TRUE, InvestorTable[[#This Row],[Investment Capital (₦)]], AND(InvestorTable[[#This Row],[Investor Tally '#]] = 'Payment Tracker'!$A602, 'Payment Tracker'!$C602="Refund") = TRUE, InvestorTable[[#This Row],[Investment Capital (₦)]] )</f>
        <v>#N/A</v>
      </c>
      <c r="E602" s="15"/>
      <c r="F602" s="14"/>
      <c r="G602" s="14"/>
      <c r="H602" s="14"/>
    </row>
    <row r="603" spans="1:8" x14ac:dyDescent="0.3">
      <c r="A603" s="13"/>
      <c r="B603" s="16">
        <f>IF($A603=InvestorTable[[#This Row],[Investor Tally '#]],InvestorTable[[#This Row],[Investor Name]], NA())</f>
        <v>0</v>
      </c>
      <c r="C603" s="14"/>
      <c r="D603" s="17" t="e" cm="1">
        <f t="array" ref="D603">_xlfn.IFS(AND(InvestorTable[[#This Row],[Investor Tally '#]] = 'Payment Tracker'!$A603, 'Payment Tracker'!$C603="Dividend") = TRUE, InvestorTable[[#This Row],[Monthly ROI (₦)]], AND(InvestorTable[[#This Row],[Investor Tally '#]] = 'Payment Tracker'!$A603, 'Payment Tracker'!$C603="Capital") = TRUE, InvestorTable[[#This Row],[Investment Capital (₦)]], AND(InvestorTable[[#This Row],[Investor Tally '#]] = 'Payment Tracker'!$A603, 'Payment Tracker'!$C603="Refund") = TRUE, InvestorTable[[#This Row],[Investment Capital (₦)]] )</f>
        <v>#N/A</v>
      </c>
      <c r="E603" s="15"/>
      <c r="F603" s="14"/>
      <c r="G603" s="14"/>
      <c r="H603" s="14"/>
    </row>
    <row r="604" spans="1:8" x14ac:dyDescent="0.3">
      <c r="A604" s="13"/>
      <c r="B604" s="16">
        <f>IF($A604=InvestorTable[[#This Row],[Investor Tally '#]],InvestorTable[[#This Row],[Investor Name]], NA())</f>
        <v>0</v>
      </c>
      <c r="C604" s="14"/>
      <c r="D604" s="17" t="e" cm="1">
        <f t="array" ref="D604">_xlfn.IFS(AND(InvestorTable[[#This Row],[Investor Tally '#]] = 'Payment Tracker'!$A604, 'Payment Tracker'!$C604="Dividend") = TRUE, InvestorTable[[#This Row],[Monthly ROI (₦)]], AND(InvestorTable[[#This Row],[Investor Tally '#]] = 'Payment Tracker'!$A604, 'Payment Tracker'!$C604="Capital") = TRUE, InvestorTable[[#This Row],[Investment Capital (₦)]], AND(InvestorTable[[#This Row],[Investor Tally '#]] = 'Payment Tracker'!$A604, 'Payment Tracker'!$C604="Refund") = TRUE, InvestorTable[[#This Row],[Investment Capital (₦)]] )</f>
        <v>#N/A</v>
      </c>
      <c r="E604" s="15"/>
      <c r="F604" s="14"/>
      <c r="G604" s="14"/>
      <c r="H604" s="14"/>
    </row>
    <row r="605" spans="1:8" x14ac:dyDescent="0.3">
      <c r="A605" s="13"/>
      <c r="B605" s="16">
        <f>IF($A605=InvestorTable[[#This Row],[Investor Tally '#]],InvestorTable[[#This Row],[Investor Name]], NA())</f>
        <v>0</v>
      </c>
      <c r="C605" s="14"/>
      <c r="D605" s="17" t="e" cm="1">
        <f t="array" ref="D605">_xlfn.IFS(AND(InvestorTable[[#This Row],[Investor Tally '#]] = 'Payment Tracker'!$A605, 'Payment Tracker'!$C605="Dividend") = TRUE, InvestorTable[[#This Row],[Monthly ROI (₦)]], AND(InvestorTable[[#This Row],[Investor Tally '#]] = 'Payment Tracker'!$A605, 'Payment Tracker'!$C605="Capital") = TRUE, InvestorTable[[#This Row],[Investment Capital (₦)]], AND(InvestorTable[[#This Row],[Investor Tally '#]] = 'Payment Tracker'!$A605, 'Payment Tracker'!$C605="Refund") = TRUE, InvestorTable[[#This Row],[Investment Capital (₦)]] )</f>
        <v>#N/A</v>
      </c>
      <c r="E605" s="15"/>
      <c r="F605" s="14"/>
      <c r="G605" s="14"/>
      <c r="H605" s="14"/>
    </row>
    <row r="606" spans="1:8" x14ac:dyDescent="0.3">
      <c r="A606" s="13"/>
      <c r="B606" s="16">
        <f>IF($A606=InvestorTable[[#This Row],[Investor Tally '#]],InvestorTable[[#This Row],[Investor Name]], NA())</f>
        <v>0</v>
      </c>
      <c r="C606" s="14"/>
      <c r="D606" s="17" t="e" cm="1">
        <f t="array" ref="D606">_xlfn.IFS(AND(InvestorTable[[#This Row],[Investor Tally '#]] = 'Payment Tracker'!$A606, 'Payment Tracker'!$C606="Dividend") = TRUE, InvestorTable[[#This Row],[Monthly ROI (₦)]], AND(InvestorTable[[#This Row],[Investor Tally '#]] = 'Payment Tracker'!$A606, 'Payment Tracker'!$C606="Capital") = TRUE, InvestorTable[[#This Row],[Investment Capital (₦)]], AND(InvestorTable[[#This Row],[Investor Tally '#]] = 'Payment Tracker'!$A606, 'Payment Tracker'!$C606="Refund") = TRUE, InvestorTable[[#This Row],[Investment Capital (₦)]] )</f>
        <v>#N/A</v>
      </c>
      <c r="E606" s="15"/>
      <c r="F606" s="14"/>
      <c r="G606" s="14"/>
      <c r="H606" s="14"/>
    </row>
    <row r="607" spans="1:8" x14ac:dyDescent="0.3">
      <c r="A607" s="13"/>
      <c r="B607" s="16">
        <f>IF($A607=InvestorTable[[#This Row],[Investor Tally '#]],InvestorTable[[#This Row],[Investor Name]], NA())</f>
        <v>0</v>
      </c>
      <c r="C607" s="14"/>
      <c r="D607" s="17" t="e" cm="1">
        <f t="array" ref="D607">_xlfn.IFS(AND(InvestorTable[[#This Row],[Investor Tally '#]] = 'Payment Tracker'!$A607, 'Payment Tracker'!$C607="Dividend") = TRUE, InvestorTable[[#This Row],[Monthly ROI (₦)]], AND(InvestorTable[[#This Row],[Investor Tally '#]] = 'Payment Tracker'!$A607, 'Payment Tracker'!$C607="Capital") = TRUE, InvestorTable[[#This Row],[Investment Capital (₦)]], AND(InvestorTable[[#This Row],[Investor Tally '#]] = 'Payment Tracker'!$A607, 'Payment Tracker'!$C607="Refund") = TRUE, InvestorTable[[#This Row],[Investment Capital (₦)]] )</f>
        <v>#N/A</v>
      </c>
      <c r="E607" s="15"/>
      <c r="F607" s="14"/>
      <c r="G607" s="14"/>
      <c r="H607" s="14"/>
    </row>
    <row r="608" spans="1:8" x14ac:dyDescent="0.3">
      <c r="A608" s="13"/>
      <c r="B608" s="16">
        <f>IF($A608=InvestorTable[[#This Row],[Investor Tally '#]],InvestorTable[[#This Row],[Investor Name]], NA())</f>
        <v>0</v>
      </c>
      <c r="C608" s="14"/>
      <c r="D608" s="17" t="e" cm="1">
        <f t="array" ref="D608">_xlfn.IFS(AND(InvestorTable[[#This Row],[Investor Tally '#]] = 'Payment Tracker'!$A608, 'Payment Tracker'!$C608="Dividend") = TRUE, InvestorTable[[#This Row],[Monthly ROI (₦)]], AND(InvestorTable[[#This Row],[Investor Tally '#]] = 'Payment Tracker'!$A608, 'Payment Tracker'!$C608="Capital") = TRUE, InvestorTable[[#This Row],[Investment Capital (₦)]], AND(InvestorTable[[#This Row],[Investor Tally '#]] = 'Payment Tracker'!$A608, 'Payment Tracker'!$C608="Refund") = TRUE, InvestorTable[[#This Row],[Investment Capital (₦)]] )</f>
        <v>#N/A</v>
      </c>
      <c r="E608" s="15"/>
      <c r="F608" s="14"/>
      <c r="G608" s="14"/>
      <c r="H608" s="14"/>
    </row>
    <row r="609" spans="1:8" x14ac:dyDescent="0.3">
      <c r="A609" s="13"/>
      <c r="B609" s="16">
        <f>IF($A609=InvestorTable[[#This Row],[Investor Tally '#]],InvestorTable[[#This Row],[Investor Name]], NA())</f>
        <v>0</v>
      </c>
      <c r="C609" s="14"/>
      <c r="D609" s="17" t="e" cm="1">
        <f t="array" ref="D609">_xlfn.IFS(AND(InvestorTable[[#This Row],[Investor Tally '#]] = 'Payment Tracker'!$A609, 'Payment Tracker'!$C609="Dividend") = TRUE, InvestorTable[[#This Row],[Monthly ROI (₦)]], AND(InvestorTable[[#This Row],[Investor Tally '#]] = 'Payment Tracker'!$A609, 'Payment Tracker'!$C609="Capital") = TRUE, InvestorTable[[#This Row],[Investment Capital (₦)]], AND(InvestorTable[[#This Row],[Investor Tally '#]] = 'Payment Tracker'!$A609, 'Payment Tracker'!$C609="Refund") = TRUE, InvestorTable[[#This Row],[Investment Capital (₦)]] )</f>
        <v>#N/A</v>
      </c>
      <c r="E609" s="15"/>
      <c r="F609" s="14"/>
      <c r="G609" s="14"/>
      <c r="H609" s="14"/>
    </row>
    <row r="610" spans="1:8" x14ac:dyDescent="0.3">
      <c r="A610" s="13"/>
      <c r="B610" s="16">
        <f>IF($A610=InvestorTable[[#This Row],[Investor Tally '#]],InvestorTable[[#This Row],[Investor Name]], NA())</f>
        <v>0</v>
      </c>
      <c r="C610" s="14"/>
      <c r="D610" s="17" t="e" cm="1">
        <f t="array" ref="D610">_xlfn.IFS(AND(InvestorTable[[#This Row],[Investor Tally '#]] = 'Payment Tracker'!$A610, 'Payment Tracker'!$C610="Dividend") = TRUE, InvestorTable[[#This Row],[Monthly ROI (₦)]], AND(InvestorTable[[#This Row],[Investor Tally '#]] = 'Payment Tracker'!$A610, 'Payment Tracker'!$C610="Capital") = TRUE, InvestorTable[[#This Row],[Investment Capital (₦)]], AND(InvestorTable[[#This Row],[Investor Tally '#]] = 'Payment Tracker'!$A610, 'Payment Tracker'!$C610="Refund") = TRUE, InvestorTable[[#This Row],[Investment Capital (₦)]] )</f>
        <v>#N/A</v>
      </c>
      <c r="E610" s="15"/>
      <c r="F610" s="14"/>
      <c r="G610" s="14"/>
      <c r="H610" s="14"/>
    </row>
    <row r="611" spans="1:8" x14ac:dyDescent="0.3">
      <c r="A611" s="13"/>
      <c r="B611" s="16">
        <f>IF($A611=InvestorTable[[#This Row],[Investor Tally '#]],InvestorTable[[#This Row],[Investor Name]], NA())</f>
        <v>0</v>
      </c>
      <c r="C611" s="14"/>
      <c r="D611" s="17" t="e" cm="1">
        <f t="array" ref="D611">_xlfn.IFS(AND(InvestorTable[[#This Row],[Investor Tally '#]] = 'Payment Tracker'!$A611, 'Payment Tracker'!$C611="Dividend") = TRUE, InvestorTable[[#This Row],[Monthly ROI (₦)]], AND(InvestorTable[[#This Row],[Investor Tally '#]] = 'Payment Tracker'!$A611, 'Payment Tracker'!$C611="Capital") = TRUE, InvestorTable[[#This Row],[Investment Capital (₦)]], AND(InvestorTable[[#This Row],[Investor Tally '#]] = 'Payment Tracker'!$A611, 'Payment Tracker'!$C611="Refund") = TRUE, InvestorTable[[#This Row],[Investment Capital (₦)]] )</f>
        <v>#N/A</v>
      </c>
      <c r="E611" s="15"/>
      <c r="F611" s="14"/>
      <c r="G611" s="14"/>
      <c r="H611" s="14"/>
    </row>
    <row r="612" spans="1:8" x14ac:dyDescent="0.3">
      <c r="A612" s="13"/>
      <c r="B612" s="16">
        <f>IF($A612=InvestorTable[[#This Row],[Investor Tally '#]],InvestorTable[[#This Row],[Investor Name]], NA())</f>
        <v>0</v>
      </c>
      <c r="C612" s="14"/>
      <c r="D612" s="17" t="e" cm="1">
        <f t="array" ref="D612">_xlfn.IFS(AND(InvestorTable[[#This Row],[Investor Tally '#]] = 'Payment Tracker'!$A612, 'Payment Tracker'!$C612="Dividend") = TRUE, InvestorTable[[#This Row],[Monthly ROI (₦)]], AND(InvestorTable[[#This Row],[Investor Tally '#]] = 'Payment Tracker'!$A612, 'Payment Tracker'!$C612="Capital") = TRUE, InvestorTable[[#This Row],[Investment Capital (₦)]], AND(InvestorTable[[#This Row],[Investor Tally '#]] = 'Payment Tracker'!$A612, 'Payment Tracker'!$C612="Refund") = TRUE, InvestorTable[[#This Row],[Investment Capital (₦)]] )</f>
        <v>#N/A</v>
      </c>
      <c r="E612" s="15"/>
      <c r="F612" s="14"/>
      <c r="G612" s="14"/>
      <c r="H612" s="14"/>
    </row>
    <row r="613" spans="1:8" x14ac:dyDescent="0.3">
      <c r="A613" s="13"/>
      <c r="B613" s="16">
        <f>IF($A613=InvestorTable[[#This Row],[Investor Tally '#]],InvestorTable[[#This Row],[Investor Name]], NA())</f>
        <v>0</v>
      </c>
      <c r="C613" s="14"/>
      <c r="D613" s="17" t="e" cm="1">
        <f t="array" ref="D613">_xlfn.IFS(AND(InvestorTable[[#This Row],[Investor Tally '#]] = 'Payment Tracker'!$A613, 'Payment Tracker'!$C613="Dividend") = TRUE, InvestorTable[[#This Row],[Monthly ROI (₦)]], AND(InvestorTable[[#This Row],[Investor Tally '#]] = 'Payment Tracker'!$A613, 'Payment Tracker'!$C613="Capital") = TRUE, InvestorTable[[#This Row],[Investment Capital (₦)]], AND(InvestorTable[[#This Row],[Investor Tally '#]] = 'Payment Tracker'!$A613, 'Payment Tracker'!$C613="Refund") = TRUE, InvestorTable[[#This Row],[Investment Capital (₦)]] )</f>
        <v>#N/A</v>
      </c>
      <c r="E613" s="15"/>
      <c r="F613" s="14"/>
      <c r="G613" s="14"/>
      <c r="H613" s="14"/>
    </row>
    <row r="614" spans="1:8" x14ac:dyDescent="0.3">
      <c r="A614" s="13"/>
      <c r="B614" s="16">
        <f>IF($A614=InvestorTable[[#This Row],[Investor Tally '#]],InvestorTable[[#This Row],[Investor Name]], NA())</f>
        <v>0</v>
      </c>
      <c r="C614" s="14"/>
      <c r="D614" s="17" t="e" cm="1">
        <f t="array" ref="D614">_xlfn.IFS(AND(InvestorTable[[#This Row],[Investor Tally '#]] = 'Payment Tracker'!$A614, 'Payment Tracker'!$C614="Dividend") = TRUE, InvestorTable[[#This Row],[Monthly ROI (₦)]], AND(InvestorTable[[#This Row],[Investor Tally '#]] = 'Payment Tracker'!$A614, 'Payment Tracker'!$C614="Capital") = TRUE, InvestorTable[[#This Row],[Investment Capital (₦)]], AND(InvestorTable[[#This Row],[Investor Tally '#]] = 'Payment Tracker'!$A614, 'Payment Tracker'!$C614="Refund") = TRUE, InvestorTable[[#This Row],[Investment Capital (₦)]] )</f>
        <v>#N/A</v>
      </c>
      <c r="E614" s="15"/>
      <c r="F614" s="14"/>
      <c r="G614" s="14"/>
      <c r="H614" s="14"/>
    </row>
    <row r="615" spans="1:8" x14ac:dyDescent="0.3">
      <c r="A615" s="13"/>
      <c r="B615" s="16">
        <f>IF($A615=InvestorTable[[#This Row],[Investor Tally '#]],InvestorTable[[#This Row],[Investor Name]], NA())</f>
        <v>0</v>
      </c>
      <c r="C615" s="14"/>
      <c r="D615" s="17" t="e" cm="1">
        <f t="array" ref="D615">_xlfn.IFS(AND(InvestorTable[[#This Row],[Investor Tally '#]] = 'Payment Tracker'!$A615, 'Payment Tracker'!$C615="Dividend") = TRUE, InvestorTable[[#This Row],[Monthly ROI (₦)]], AND(InvestorTable[[#This Row],[Investor Tally '#]] = 'Payment Tracker'!$A615, 'Payment Tracker'!$C615="Capital") = TRUE, InvestorTable[[#This Row],[Investment Capital (₦)]], AND(InvestorTable[[#This Row],[Investor Tally '#]] = 'Payment Tracker'!$A615, 'Payment Tracker'!$C615="Refund") = TRUE, InvestorTable[[#This Row],[Investment Capital (₦)]] )</f>
        <v>#N/A</v>
      </c>
      <c r="E615" s="15"/>
      <c r="F615" s="14"/>
      <c r="G615" s="14"/>
      <c r="H615" s="14"/>
    </row>
    <row r="616" spans="1:8" x14ac:dyDescent="0.3">
      <c r="A616" s="13"/>
      <c r="B616" s="16">
        <f>IF($A616=InvestorTable[[#This Row],[Investor Tally '#]],InvestorTable[[#This Row],[Investor Name]], NA())</f>
        <v>0</v>
      </c>
      <c r="C616" s="14"/>
      <c r="D616" s="17" t="e" cm="1">
        <f t="array" ref="D616">_xlfn.IFS(AND(InvestorTable[[#This Row],[Investor Tally '#]] = 'Payment Tracker'!$A616, 'Payment Tracker'!$C616="Dividend") = TRUE, InvestorTable[[#This Row],[Monthly ROI (₦)]], AND(InvestorTable[[#This Row],[Investor Tally '#]] = 'Payment Tracker'!$A616, 'Payment Tracker'!$C616="Capital") = TRUE, InvestorTable[[#This Row],[Investment Capital (₦)]], AND(InvestorTable[[#This Row],[Investor Tally '#]] = 'Payment Tracker'!$A616, 'Payment Tracker'!$C616="Refund") = TRUE, InvestorTable[[#This Row],[Investment Capital (₦)]] )</f>
        <v>#N/A</v>
      </c>
      <c r="E616" s="15"/>
      <c r="F616" s="14"/>
      <c r="G616" s="14"/>
      <c r="H616" s="14"/>
    </row>
    <row r="617" spans="1:8" x14ac:dyDescent="0.3">
      <c r="A617" s="13"/>
      <c r="B617" s="16">
        <f>IF($A617=InvestorTable[[#This Row],[Investor Tally '#]],InvestorTable[[#This Row],[Investor Name]], NA())</f>
        <v>0</v>
      </c>
      <c r="C617" s="14"/>
      <c r="D617" s="17" t="e" cm="1">
        <f t="array" ref="D617">_xlfn.IFS(AND(InvestorTable[[#This Row],[Investor Tally '#]] = 'Payment Tracker'!$A617, 'Payment Tracker'!$C617="Dividend") = TRUE, InvestorTable[[#This Row],[Monthly ROI (₦)]], AND(InvestorTable[[#This Row],[Investor Tally '#]] = 'Payment Tracker'!$A617, 'Payment Tracker'!$C617="Capital") = TRUE, InvestorTable[[#This Row],[Investment Capital (₦)]], AND(InvestorTable[[#This Row],[Investor Tally '#]] = 'Payment Tracker'!$A617, 'Payment Tracker'!$C617="Refund") = TRUE, InvestorTable[[#This Row],[Investment Capital (₦)]] )</f>
        <v>#N/A</v>
      </c>
      <c r="E617" s="15"/>
      <c r="F617" s="14"/>
      <c r="G617" s="14"/>
      <c r="H617" s="14"/>
    </row>
    <row r="618" spans="1:8" x14ac:dyDescent="0.3">
      <c r="A618" s="13"/>
      <c r="B618" s="16">
        <f>IF($A618=InvestorTable[[#This Row],[Investor Tally '#]],InvestorTable[[#This Row],[Investor Name]], NA())</f>
        <v>0</v>
      </c>
      <c r="C618" s="14"/>
      <c r="D618" s="17" t="e" cm="1">
        <f t="array" ref="D618">_xlfn.IFS(AND(InvestorTable[[#This Row],[Investor Tally '#]] = 'Payment Tracker'!$A618, 'Payment Tracker'!$C618="Dividend") = TRUE, InvestorTable[[#This Row],[Monthly ROI (₦)]], AND(InvestorTable[[#This Row],[Investor Tally '#]] = 'Payment Tracker'!$A618, 'Payment Tracker'!$C618="Capital") = TRUE, InvestorTable[[#This Row],[Investment Capital (₦)]], AND(InvestorTable[[#This Row],[Investor Tally '#]] = 'Payment Tracker'!$A618, 'Payment Tracker'!$C618="Refund") = TRUE, InvestorTable[[#This Row],[Investment Capital (₦)]] )</f>
        <v>#N/A</v>
      </c>
      <c r="E618" s="15"/>
      <c r="F618" s="14"/>
      <c r="G618" s="14"/>
      <c r="H618" s="14"/>
    </row>
    <row r="619" spans="1:8" x14ac:dyDescent="0.3">
      <c r="A619" s="13"/>
      <c r="B619" s="16">
        <f>IF($A619=InvestorTable[[#This Row],[Investor Tally '#]],InvestorTable[[#This Row],[Investor Name]], NA())</f>
        <v>0</v>
      </c>
      <c r="C619" s="14"/>
      <c r="D619" s="17" t="e" cm="1">
        <f t="array" ref="D619">_xlfn.IFS(AND(InvestorTable[[#This Row],[Investor Tally '#]] = 'Payment Tracker'!$A619, 'Payment Tracker'!$C619="Dividend") = TRUE, InvestorTable[[#This Row],[Monthly ROI (₦)]], AND(InvestorTable[[#This Row],[Investor Tally '#]] = 'Payment Tracker'!$A619, 'Payment Tracker'!$C619="Capital") = TRUE, InvestorTable[[#This Row],[Investment Capital (₦)]], AND(InvestorTable[[#This Row],[Investor Tally '#]] = 'Payment Tracker'!$A619, 'Payment Tracker'!$C619="Refund") = TRUE, InvestorTable[[#This Row],[Investment Capital (₦)]] )</f>
        <v>#N/A</v>
      </c>
      <c r="E619" s="15"/>
      <c r="F619" s="14"/>
      <c r="G619" s="14"/>
      <c r="H619" s="14"/>
    </row>
    <row r="620" spans="1:8" x14ac:dyDescent="0.3">
      <c r="A620" s="13"/>
      <c r="B620" s="16">
        <f>IF($A620=InvestorTable[[#This Row],[Investor Tally '#]],InvestorTable[[#This Row],[Investor Name]], NA())</f>
        <v>0</v>
      </c>
      <c r="C620" s="14"/>
      <c r="D620" s="17" t="e" cm="1">
        <f t="array" ref="D620">_xlfn.IFS(AND(InvestorTable[[#This Row],[Investor Tally '#]] = 'Payment Tracker'!$A620, 'Payment Tracker'!$C620="Dividend") = TRUE, InvestorTable[[#This Row],[Monthly ROI (₦)]], AND(InvestorTable[[#This Row],[Investor Tally '#]] = 'Payment Tracker'!$A620, 'Payment Tracker'!$C620="Capital") = TRUE, InvestorTable[[#This Row],[Investment Capital (₦)]], AND(InvestorTable[[#This Row],[Investor Tally '#]] = 'Payment Tracker'!$A620, 'Payment Tracker'!$C620="Refund") = TRUE, InvestorTable[[#This Row],[Investment Capital (₦)]] )</f>
        <v>#N/A</v>
      </c>
      <c r="E620" s="15"/>
      <c r="F620" s="14"/>
      <c r="G620" s="14"/>
      <c r="H620" s="14"/>
    </row>
    <row r="621" spans="1:8" x14ac:dyDescent="0.3">
      <c r="A621" s="13"/>
      <c r="B621" s="16">
        <f>IF($A621=InvestorTable[[#This Row],[Investor Tally '#]],InvestorTable[[#This Row],[Investor Name]], NA())</f>
        <v>0</v>
      </c>
      <c r="C621" s="14"/>
      <c r="D621" s="17" t="e" cm="1">
        <f t="array" ref="D621">_xlfn.IFS(AND(InvestorTable[[#This Row],[Investor Tally '#]] = 'Payment Tracker'!$A621, 'Payment Tracker'!$C621="Dividend") = TRUE, InvestorTable[[#This Row],[Monthly ROI (₦)]], AND(InvestorTable[[#This Row],[Investor Tally '#]] = 'Payment Tracker'!$A621, 'Payment Tracker'!$C621="Capital") = TRUE, InvestorTable[[#This Row],[Investment Capital (₦)]], AND(InvestorTable[[#This Row],[Investor Tally '#]] = 'Payment Tracker'!$A621, 'Payment Tracker'!$C621="Refund") = TRUE, InvestorTable[[#This Row],[Investment Capital (₦)]] )</f>
        <v>#N/A</v>
      </c>
      <c r="E621" s="15"/>
      <c r="F621" s="14"/>
      <c r="G621" s="14"/>
      <c r="H621" s="14"/>
    </row>
    <row r="622" spans="1:8" x14ac:dyDescent="0.3">
      <c r="A622" s="13"/>
      <c r="B622" s="16">
        <f>IF($A622=InvestorTable[[#This Row],[Investor Tally '#]],InvestorTable[[#This Row],[Investor Name]], NA())</f>
        <v>0</v>
      </c>
      <c r="C622" s="14"/>
      <c r="D622" s="17" t="e" cm="1">
        <f t="array" ref="D622">_xlfn.IFS(AND(InvestorTable[[#This Row],[Investor Tally '#]] = 'Payment Tracker'!$A622, 'Payment Tracker'!$C622="Dividend") = TRUE, InvestorTable[[#This Row],[Monthly ROI (₦)]], AND(InvestorTable[[#This Row],[Investor Tally '#]] = 'Payment Tracker'!$A622, 'Payment Tracker'!$C622="Capital") = TRUE, InvestorTable[[#This Row],[Investment Capital (₦)]], AND(InvestorTable[[#This Row],[Investor Tally '#]] = 'Payment Tracker'!$A622, 'Payment Tracker'!$C622="Refund") = TRUE, InvestorTable[[#This Row],[Investment Capital (₦)]] )</f>
        <v>#N/A</v>
      </c>
      <c r="E622" s="15"/>
      <c r="F622" s="14"/>
      <c r="G622" s="14"/>
      <c r="H622" s="14"/>
    </row>
    <row r="623" spans="1:8" x14ac:dyDescent="0.3">
      <c r="A623" s="13"/>
      <c r="B623" s="16">
        <f>IF($A623=InvestorTable[[#This Row],[Investor Tally '#]],InvestorTable[[#This Row],[Investor Name]], NA())</f>
        <v>0</v>
      </c>
      <c r="C623" s="14"/>
      <c r="D623" s="17" t="e" cm="1">
        <f t="array" ref="D623">_xlfn.IFS(AND(InvestorTable[[#This Row],[Investor Tally '#]] = 'Payment Tracker'!$A623, 'Payment Tracker'!$C623="Dividend") = TRUE, InvestorTable[[#This Row],[Monthly ROI (₦)]], AND(InvestorTable[[#This Row],[Investor Tally '#]] = 'Payment Tracker'!$A623, 'Payment Tracker'!$C623="Capital") = TRUE, InvestorTable[[#This Row],[Investment Capital (₦)]], AND(InvestorTable[[#This Row],[Investor Tally '#]] = 'Payment Tracker'!$A623, 'Payment Tracker'!$C623="Refund") = TRUE, InvestorTable[[#This Row],[Investment Capital (₦)]] )</f>
        <v>#N/A</v>
      </c>
      <c r="E623" s="15"/>
      <c r="F623" s="14"/>
      <c r="G623" s="14"/>
      <c r="H623" s="14"/>
    </row>
    <row r="624" spans="1:8" x14ac:dyDescent="0.3">
      <c r="A624" s="13"/>
      <c r="B624" s="16">
        <f>IF($A624=InvestorTable[[#This Row],[Investor Tally '#]],InvestorTable[[#This Row],[Investor Name]], NA())</f>
        <v>0</v>
      </c>
      <c r="C624" s="14"/>
      <c r="D624" s="17" t="e" cm="1">
        <f t="array" ref="D624">_xlfn.IFS(AND(InvestorTable[[#This Row],[Investor Tally '#]] = 'Payment Tracker'!$A624, 'Payment Tracker'!$C624="Dividend") = TRUE, InvestorTable[[#This Row],[Monthly ROI (₦)]], AND(InvestorTable[[#This Row],[Investor Tally '#]] = 'Payment Tracker'!$A624, 'Payment Tracker'!$C624="Capital") = TRUE, InvestorTable[[#This Row],[Investment Capital (₦)]], AND(InvestorTable[[#This Row],[Investor Tally '#]] = 'Payment Tracker'!$A624, 'Payment Tracker'!$C624="Refund") = TRUE, InvestorTable[[#This Row],[Investment Capital (₦)]] )</f>
        <v>#N/A</v>
      </c>
      <c r="E624" s="15"/>
      <c r="F624" s="14"/>
      <c r="G624" s="14"/>
      <c r="H624" s="14"/>
    </row>
    <row r="625" spans="1:8" x14ac:dyDescent="0.3">
      <c r="A625" s="13"/>
      <c r="B625" s="16">
        <f>IF($A625=InvestorTable[[#This Row],[Investor Tally '#]],InvestorTable[[#This Row],[Investor Name]], NA())</f>
        <v>0</v>
      </c>
      <c r="C625" s="14"/>
      <c r="D625" s="17" t="e" cm="1">
        <f t="array" ref="D625">_xlfn.IFS(AND(InvestorTable[[#This Row],[Investor Tally '#]] = 'Payment Tracker'!$A625, 'Payment Tracker'!$C625="Dividend") = TRUE, InvestorTable[[#This Row],[Monthly ROI (₦)]], AND(InvestorTable[[#This Row],[Investor Tally '#]] = 'Payment Tracker'!$A625, 'Payment Tracker'!$C625="Capital") = TRUE, InvestorTable[[#This Row],[Investment Capital (₦)]], AND(InvestorTable[[#This Row],[Investor Tally '#]] = 'Payment Tracker'!$A625, 'Payment Tracker'!$C625="Refund") = TRUE, InvestorTable[[#This Row],[Investment Capital (₦)]] )</f>
        <v>#N/A</v>
      </c>
      <c r="E625" s="15"/>
      <c r="F625" s="14"/>
      <c r="G625" s="14"/>
      <c r="H625" s="14"/>
    </row>
    <row r="626" spans="1:8" x14ac:dyDescent="0.3">
      <c r="A626" s="13"/>
      <c r="B626" s="16">
        <f>IF($A626=InvestorTable[[#This Row],[Investor Tally '#]],InvestorTable[[#This Row],[Investor Name]], NA())</f>
        <v>0</v>
      </c>
      <c r="C626" s="14"/>
      <c r="D626" s="17" t="e" cm="1">
        <f t="array" ref="D626">_xlfn.IFS(AND(InvestorTable[[#This Row],[Investor Tally '#]] = 'Payment Tracker'!$A626, 'Payment Tracker'!$C626="Dividend") = TRUE, InvestorTable[[#This Row],[Monthly ROI (₦)]], AND(InvestorTable[[#This Row],[Investor Tally '#]] = 'Payment Tracker'!$A626, 'Payment Tracker'!$C626="Capital") = TRUE, InvestorTable[[#This Row],[Investment Capital (₦)]], AND(InvestorTable[[#This Row],[Investor Tally '#]] = 'Payment Tracker'!$A626, 'Payment Tracker'!$C626="Refund") = TRUE, InvestorTable[[#This Row],[Investment Capital (₦)]] )</f>
        <v>#N/A</v>
      </c>
      <c r="E626" s="15"/>
      <c r="F626" s="14"/>
      <c r="G626" s="14"/>
      <c r="H626" s="14"/>
    </row>
    <row r="627" spans="1:8" x14ac:dyDescent="0.3">
      <c r="A627" s="13"/>
      <c r="B627" s="16">
        <f>IF($A627=InvestorTable[[#This Row],[Investor Tally '#]],InvestorTable[[#This Row],[Investor Name]], NA())</f>
        <v>0</v>
      </c>
      <c r="C627" s="14"/>
      <c r="D627" s="17" t="e" cm="1">
        <f t="array" ref="D627">_xlfn.IFS(AND(InvestorTable[[#This Row],[Investor Tally '#]] = 'Payment Tracker'!$A627, 'Payment Tracker'!$C627="Dividend") = TRUE, InvestorTable[[#This Row],[Monthly ROI (₦)]], AND(InvestorTable[[#This Row],[Investor Tally '#]] = 'Payment Tracker'!$A627, 'Payment Tracker'!$C627="Capital") = TRUE, InvestorTable[[#This Row],[Investment Capital (₦)]], AND(InvestorTable[[#This Row],[Investor Tally '#]] = 'Payment Tracker'!$A627, 'Payment Tracker'!$C627="Refund") = TRUE, InvestorTable[[#This Row],[Investment Capital (₦)]] )</f>
        <v>#N/A</v>
      </c>
      <c r="E627" s="15"/>
      <c r="F627" s="14"/>
      <c r="G627" s="14"/>
      <c r="H627" s="14"/>
    </row>
    <row r="628" spans="1:8" x14ac:dyDescent="0.3">
      <c r="A628" s="13"/>
      <c r="B628" s="16">
        <f>IF($A628=InvestorTable[[#This Row],[Investor Tally '#]],InvestorTable[[#This Row],[Investor Name]], NA())</f>
        <v>0</v>
      </c>
      <c r="C628" s="14"/>
      <c r="D628" s="17" t="e" cm="1">
        <f t="array" ref="D628">_xlfn.IFS(AND(InvestorTable[[#This Row],[Investor Tally '#]] = 'Payment Tracker'!$A628, 'Payment Tracker'!$C628="Dividend") = TRUE, InvestorTable[[#This Row],[Monthly ROI (₦)]], AND(InvestorTable[[#This Row],[Investor Tally '#]] = 'Payment Tracker'!$A628, 'Payment Tracker'!$C628="Capital") = TRUE, InvestorTable[[#This Row],[Investment Capital (₦)]], AND(InvestorTable[[#This Row],[Investor Tally '#]] = 'Payment Tracker'!$A628, 'Payment Tracker'!$C628="Refund") = TRUE, InvestorTable[[#This Row],[Investment Capital (₦)]] )</f>
        <v>#N/A</v>
      </c>
      <c r="E628" s="15"/>
      <c r="F628" s="14"/>
      <c r="G628" s="14"/>
      <c r="H628" s="14"/>
    </row>
    <row r="629" spans="1:8" x14ac:dyDescent="0.3">
      <c r="A629" s="13"/>
      <c r="B629" s="16">
        <f>IF($A629=InvestorTable[[#This Row],[Investor Tally '#]],InvestorTable[[#This Row],[Investor Name]], NA())</f>
        <v>0</v>
      </c>
      <c r="C629" s="14"/>
      <c r="D629" s="17" t="e" cm="1">
        <f t="array" ref="D629">_xlfn.IFS(AND(InvestorTable[[#This Row],[Investor Tally '#]] = 'Payment Tracker'!$A629, 'Payment Tracker'!$C629="Dividend") = TRUE, InvestorTable[[#This Row],[Monthly ROI (₦)]], AND(InvestorTable[[#This Row],[Investor Tally '#]] = 'Payment Tracker'!$A629, 'Payment Tracker'!$C629="Capital") = TRUE, InvestorTable[[#This Row],[Investment Capital (₦)]], AND(InvestorTable[[#This Row],[Investor Tally '#]] = 'Payment Tracker'!$A629, 'Payment Tracker'!$C629="Refund") = TRUE, InvestorTable[[#This Row],[Investment Capital (₦)]] )</f>
        <v>#N/A</v>
      </c>
      <c r="E629" s="15"/>
      <c r="F629" s="14"/>
      <c r="G629" s="14"/>
      <c r="H629" s="14"/>
    </row>
    <row r="630" spans="1:8" x14ac:dyDescent="0.3">
      <c r="A630" s="13"/>
      <c r="B630" s="16">
        <f>IF($A630=InvestorTable[[#This Row],[Investor Tally '#]],InvestorTable[[#This Row],[Investor Name]], NA())</f>
        <v>0</v>
      </c>
      <c r="C630" s="14"/>
      <c r="D630" s="17" t="e" cm="1">
        <f t="array" ref="D630">_xlfn.IFS(AND(InvestorTable[[#This Row],[Investor Tally '#]] = 'Payment Tracker'!$A630, 'Payment Tracker'!$C630="Dividend") = TRUE, InvestorTable[[#This Row],[Monthly ROI (₦)]], AND(InvestorTable[[#This Row],[Investor Tally '#]] = 'Payment Tracker'!$A630, 'Payment Tracker'!$C630="Capital") = TRUE, InvestorTable[[#This Row],[Investment Capital (₦)]], AND(InvestorTable[[#This Row],[Investor Tally '#]] = 'Payment Tracker'!$A630, 'Payment Tracker'!$C630="Refund") = TRUE, InvestorTable[[#This Row],[Investment Capital (₦)]] )</f>
        <v>#N/A</v>
      </c>
      <c r="E630" s="15"/>
      <c r="F630" s="14"/>
      <c r="G630" s="14"/>
      <c r="H630" s="14"/>
    </row>
    <row r="631" spans="1:8" x14ac:dyDescent="0.3">
      <c r="A631" s="13"/>
      <c r="B631" s="16">
        <f>IF($A631=InvestorTable[[#This Row],[Investor Tally '#]],InvestorTable[[#This Row],[Investor Name]], NA())</f>
        <v>0</v>
      </c>
      <c r="C631" s="14"/>
      <c r="D631" s="17" t="e" cm="1">
        <f t="array" ref="D631">_xlfn.IFS(AND(InvestorTable[[#This Row],[Investor Tally '#]] = 'Payment Tracker'!$A631, 'Payment Tracker'!$C631="Dividend") = TRUE, InvestorTable[[#This Row],[Monthly ROI (₦)]], AND(InvestorTable[[#This Row],[Investor Tally '#]] = 'Payment Tracker'!$A631, 'Payment Tracker'!$C631="Capital") = TRUE, InvestorTable[[#This Row],[Investment Capital (₦)]], AND(InvestorTable[[#This Row],[Investor Tally '#]] = 'Payment Tracker'!$A631, 'Payment Tracker'!$C631="Refund") = TRUE, InvestorTable[[#This Row],[Investment Capital (₦)]] )</f>
        <v>#N/A</v>
      </c>
      <c r="E631" s="15"/>
      <c r="F631" s="14"/>
      <c r="G631" s="14"/>
      <c r="H631" s="14"/>
    </row>
    <row r="632" spans="1:8" x14ac:dyDescent="0.3">
      <c r="A632" s="13"/>
      <c r="B632" s="16">
        <f>IF($A632=InvestorTable[[#This Row],[Investor Tally '#]],InvestorTable[[#This Row],[Investor Name]], NA())</f>
        <v>0</v>
      </c>
      <c r="C632" s="14"/>
      <c r="D632" s="17" t="e" cm="1">
        <f t="array" ref="D632">_xlfn.IFS(AND(InvestorTable[[#This Row],[Investor Tally '#]] = 'Payment Tracker'!$A632, 'Payment Tracker'!$C632="Dividend") = TRUE, InvestorTable[[#This Row],[Monthly ROI (₦)]], AND(InvestorTable[[#This Row],[Investor Tally '#]] = 'Payment Tracker'!$A632, 'Payment Tracker'!$C632="Capital") = TRUE, InvestorTable[[#This Row],[Investment Capital (₦)]], AND(InvestorTable[[#This Row],[Investor Tally '#]] = 'Payment Tracker'!$A632, 'Payment Tracker'!$C632="Refund") = TRUE, InvestorTable[[#This Row],[Investment Capital (₦)]] )</f>
        <v>#N/A</v>
      </c>
      <c r="E632" s="15"/>
      <c r="F632" s="14"/>
      <c r="G632" s="14"/>
      <c r="H632" s="14"/>
    </row>
    <row r="633" spans="1:8" x14ac:dyDescent="0.3">
      <c r="A633" s="13"/>
      <c r="B633" s="16">
        <f>IF($A633=InvestorTable[[#This Row],[Investor Tally '#]],InvestorTable[[#This Row],[Investor Name]], NA())</f>
        <v>0</v>
      </c>
      <c r="C633" s="14"/>
      <c r="D633" s="17" t="e" cm="1">
        <f t="array" ref="D633">_xlfn.IFS(AND(InvestorTable[[#This Row],[Investor Tally '#]] = 'Payment Tracker'!$A633, 'Payment Tracker'!$C633="Dividend") = TRUE, InvestorTable[[#This Row],[Monthly ROI (₦)]], AND(InvestorTable[[#This Row],[Investor Tally '#]] = 'Payment Tracker'!$A633, 'Payment Tracker'!$C633="Capital") = TRUE, InvestorTable[[#This Row],[Investment Capital (₦)]], AND(InvestorTable[[#This Row],[Investor Tally '#]] = 'Payment Tracker'!$A633, 'Payment Tracker'!$C633="Refund") = TRUE, InvestorTable[[#This Row],[Investment Capital (₦)]] )</f>
        <v>#N/A</v>
      </c>
      <c r="E633" s="15"/>
      <c r="F633" s="14"/>
      <c r="G633" s="14"/>
      <c r="H633" s="14"/>
    </row>
    <row r="634" spans="1:8" x14ac:dyDescent="0.3">
      <c r="A634" s="13"/>
      <c r="B634" s="16">
        <f>IF($A634=InvestorTable[[#This Row],[Investor Tally '#]],InvestorTable[[#This Row],[Investor Name]], NA())</f>
        <v>0</v>
      </c>
      <c r="C634" s="14"/>
      <c r="D634" s="17" t="e" cm="1">
        <f t="array" ref="D634">_xlfn.IFS(AND(InvestorTable[[#This Row],[Investor Tally '#]] = 'Payment Tracker'!$A634, 'Payment Tracker'!$C634="Dividend") = TRUE, InvestorTable[[#This Row],[Monthly ROI (₦)]], AND(InvestorTable[[#This Row],[Investor Tally '#]] = 'Payment Tracker'!$A634, 'Payment Tracker'!$C634="Capital") = TRUE, InvestorTable[[#This Row],[Investment Capital (₦)]], AND(InvestorTable[[#This Row],[Investor Tally '#]] = 'Payment Tracker'!$A634, 'Payment Tracker'!$C634="Refund") = TRUE, InvestorTable[[#This Row],[Investment Capital (₦)]] )</f>
        <v>#N/A</v>
      </c>
      <c r="E634" s="15"/>
      <c r="F634" s="14"/>
      <c r="G634" s="14"/>
      <c r="H634" s="14"/>
    </row>
    <row r="635" spans="1:8" x14ac:dyDescent="0.3">
      <c r="A635" s="13"/>
      <c r="B635" s="16">
        <f>IF($A635=InvestorTable[[#This Row],[Investor Tally '#]],InvestorTable[[#This Row],[Investor Name]], NA())</f>
        <v>0</v>
      </c>
      <c r="C635" s="14"/>
      <c r="D635" s="17" t="e" cm="1">
        <f t="array" ref="D635">_xlfn.IFS(AND(InvestorTable[[#This Row],[Investor Tally '#]] = 'Payment Tracker'!$A635, 'Payment Tracker'!$C635="Dividend") = TRUE, InvestorTable[[#This Row],[Monthly ROI (₦)]], AND(InvestorTable[[#This Row],[Investor Tally '#]] = 'Payment Tracker'!$A635, 'Payment Tracker'!$C635="Capital") = TRUE, InvestorTable[[#This Row],[Investment Capital (₦)]], AND(InvestorTable[[#This Row],[Investor Tally '#]] = 'Payment Tracker'!$A635, 'Payment Tracker'!$C635="Refund") = TRUE, InvestorTable[[#This Row],[Investment Capital (₦)]] )</f>
        <v>#N/A</v>
      </c>
      <c r="E635" s="15"/>
      <c r="F635" s="14"/>
      <c r="G635" s="14"/>
      <c r="H635" s="14"/>
    </row>
    <row r="636" spans="1:8" x14ac:dyDescent="0.3">
      <c r="A636" s="13"/>
      <c r="B636" s="16">
        <f>IF($A636=InvestorTable[[#This Row],[Investor Tally '#]],InvestorTable[[#This Row],[Investor Name]], NA())</f>
        <v>0</v>
      </c>
      <c r="C636" s="14"/>
      <c r="D636" s="17" t="e" cm="1">
        <f t="array" ref="D636">_xlfn.IFS(AND(InvestorTable[[#This Row],[Investor Tally '#]] = 'Payment Tracker'!$A636, 'Payment Tracker'!$C636="Dividend") = TRUE, InvestorTable[[#This Row],[Monthly ROI (₦)]], AND(InvestorTable[[#This Row],[Investor Tally '#]] = 'Payment Tracker'!$A636, 'Payment Tracker'!$C636="Capital") = TRUE, InvestorTable[[#This Row],[Investment Capital (₦)]], AND(InvestorTable[[#This Row],[Investor Tally '#]] = 'Payment Tracker'!$A636, 'Payment Tracker'!$C636="Refund") = TRUE, InvestorTable[[#This Row],[Investment Capital (₦)]] )</f>
        <v>#N/A</v>
      </c>
      <c r="E636" s="15"/>
      <c r="F636" s="14"/>
      <c r="G636" s="14"/>
      <c r="H636" s="14"/>
    </row>
    <row r="637" spans="1:8" x14ac:dyDescent="0.3">
      <c r="A637" s="13"/>
      <c r="B637" s="16">
        <f>IF($A637=InvestorTable[[#This Row],[Investor Tally '#]],InvestorTable[[#This Row],[Investor Name]], NA())</f>
        <v>0</v>
      </c>
      <c r="C637" s="14"/>
      <c r="D637" s="17" t="e" cm="1">
        <f t="array" ref="D637">_xlfn.IFS(AND(InvestorTable[[#This Row],[Investor Tally '#]] = 'Payment Tracker'!$A637, 'Payment Tracker'!$C637="Dividend") = TRUE, InvestorTable[[#This Row],[Monthly ROI (₦)]], AND(InvestorTable[[#This Row],[Investor Tally '#]] = 'Payment Tracker'!$A637, 'Payment Tracker'!$C637="Capital") = TRUE, InvestorTable[[#This Row],[Investment Capital (₦)]], AND(InvestorTable[[#This Row],[Investor Tally '#]] = 'Payment Tracker'!$A637, 'Payment Tracker'!$C637="Refund") = TRUE, InvestorTable[[#This Row],[Investment Capital (₦)]] )</f>
        <v>#N/A</v>
      </c>
      <c r="E637" s="15"/>
      <c r="F637" s="14"/>
      <c r="G637" s="14"/>
      <c r="H637" s="14"/>
    </row>
    <row r="638" spans="1:8" x14ac:dyDescent="0.3">
      <c r="A638" s="13"/>
      <c r="B638" s="16">
        <f>IF($A638=InvestorTable[[#This Row],[Investor Tally '#]],InvestorTable[[#This Row],[Investor Name]], NA())</f>
        <v>0</v>
      </c>
      <c r="C638" s="14"/>
      <c r="D638" s="17" t="e" cm="1">
        <f t="array" ref="D638">_xlfn.IFS(AND(InvestorTable[[#This Row],[Investor Tally '#]] = 'Payment Tracker'!$A638, 'Payment Tracker'!$C638="Dividend") = TRUE, InvestorTable[[#This Row],[Monthly ROI (₦)]], AND(InvestorTable[[#This Row],[Investor Tally '#]] = 'Payment Tracker'!$A638, 'Payment Tracker'!$C638="Capital") = TRUE, InvestorTable[[#This Row],[Investment Capital (₦)]], AND(InvestorTable[[#This Row],[Investor Tally '#]] = 'Payment Tracker'!$A638, 'Payment Tracker'!$C638="Refund") = TRUE, InvestorTable[[#This Row],[Investment Capital (₦)]] )</f>
        <v>#N/A</v>
      </c>
      <c r="E638" s="15"/>
      <c r="F638" s="14"/>
      <c r="G638" s="14"/>
      <c r="H638" s="14"/>
    </row>
    <row r="639" spans="1:8" x14ac:dyDescent="0.3">
      <c r="A639" s="13"/>
      <c r="B639" s="16">
        <f>IF($A639=InvestorTable[[#This Row],[Investor Tally '#]],InvestorTable[[#This Row],[Investor Name]], NA())</f>
        <v>0</v>
      </c>
      <c r="C639" s="14"/>
      <c r="D639" s="17" t="e" cm="1">
        <f t="array" ref="D639">_xlfn.IFS(AND(InvestorTable[[#This Row],[Investor Tally '#]] = 'Payment Tracker'!$A639, 'Payment Tracker'!$C639="Dividend") = TRUE, InvestorTable[[#This Row],[Monthly ROI (₦)]], AND(InvestorTable[[#This Row],[Investor Tally '#]] = 'Payment Tracker'!$A639, 'Payment Tracker'!$C639="Capital") = TRUE, InvestorTable[[#This Row],[Investment Capital (₦)]], AND(InvestorTable[[#This Row],[Investor Tally '#]] = 'Payment Tracker'!$A639, 'Payment Tracker'!$C639="Refund") = TRUE, InvestorTable[[#This Row],[Investment Capital (₦)]] )</f>
        <v>#N/A</v>
      </c>
      <c r="E639" s="15"/>
      <c r="F639" s="14"/>
      <c r="G639" s="14"/>
      <c r="H639" s="14"/>
    </row>
    <row r="640" spans="1:8" x14ac:dyDescent="0.3">
      <c r="A640" s="13"/>
      <c r="B640" s="16">
        <f>IF($A640=InvestorTable[[#This Row],[Investor Tally '#]],InvestorTable[[#This Row],[Investor Name]], NA())</f>
        <v>0</v>
      </c>
      <c r="C640" s="14"/>
      <c r="D640" s="17" t="e" cm="1">
        <f t="array" ref="D640">_xlfn.IFS(AND(InvestorTable[[#This Row],[Investor Tally '#]] = 'Payment Tracker'!$A640, 'Payment Tracker'!$C640="Dividend") = TRUE, InvestorTable[[#This Row],[Monthly ROI (₦)]], AND(InvestorTable[[#This Row],[Investor Tally '#]] = 'Payment Tracker'!$A640, 'Payment Tracker'!$C640="Capital") = TRUE, InvestorTable[[#This Row],[Investment Capital (₦)]], AND(InvestorTable[[#This Row],[Investor Tally '#]] = 'Payment Tracker'!$A640, 'Payment Tracker'!$C640="Refund") = TRUE, InvestorTable[[#This Row],[Investment Capital (₦)]] )</f>
        <v>#N/A</v>
      </c>
      <c r="E640" s="15"/>
      <c r="F640" s="14"/>
      <c r="G640" s="14"/>
      <c r="H640" s="14"/>
    </row>
    <row r="641" spans="1:8" x14ac:dyDescent="0.3">
      <c r="A641" s="13"/>
      <c r="B641" s="16">
        <f>IF($A641=InvestorTable[[#This Row],[Investor Tally '#]],InvestorTable[[#This Row],[Investor Name]], NA())</f>
        <v>0</v>
      </c>
      <c r="C641" s="14"/>
      <c r="D641" s="17" t="e" cm="1">
        <f t="array" ref="D641">_xlfn.IFS(AND(InvestorTable[[#This Row],[Investor Tally '#]] = 'Payment Tracker'!$A641, 'Payment Tracker'!$C641="Dividend") = TRUE, InvestorTable[[#This Row],[Monthly ROI (₦)]], AND(InvestorTable[[#This Row],[Investor Tally '#]] = 'Payment Tracker'!$A641, 'Payment Tracker'!$C641="Capital") = TRUE, InvestorTable[[#This Row],[Investment Capital (₦)]], AND(InvestorTable[[#This Row],[Investor Tally '#]] = 'Payment Tracker'!$A641, 'Payment Tracker'!$C641="Refund") = TRUE, InvestorTable[[#This Row],[Investment Capital (₦)]] )</f>
        <v>#N/A</v>
      </c>
      <c r="E641" s="15"/>
      <c r="F641" s="14"/>
      <c r="G641" s="14"/>
      <c r="H641" s="14"/>
    </row>
    <row r="642" spans="1:8" x14ac:dyDescent="0.3">
      <c r="A642" s="13"/>
      <c r="B642" s="16">
        <f>IF($A642=InvestorTable[[#This Row],[Investor Tally '#]],InvestorTable[[#This Row],[Investor Name]], NA())</f>
        <v>0</v>
      </c>
      <c r="C642" s="14"/>
      <c r="D642" s="17" t="e" cm="1">
        <f t="array" ref="D642">_xlfn.IFS(AND(InvestorTable[[#This Row],[Investor Tally '#]] = 'Payment Tracker'!$A642, 'Payment Tracker'!$C642="Dividend") = TRUE, InvestorTable[[#This Row],[Monthly ROI (₦)]], AND(InvestorTable[[#This Row],[Investor Tally '#]] = 'Payment Tracker'!$A642, 'Payment Tracker'!$C642="Capital") = TRUE, InvestorTable[[#This Row],[Investment Capital (₦)]], AND(InvestorTable[[#This Row],[Investor Tally '#]] = 'Payment Tracker'!$A642, 'Payment Tracker'!$C642="Refund") = TRUE, InvestorTable[[#This Row],[Investment Capital (₦)]] )</f>
        <v>#N/A</v>
      </c>
      <c r="E642" s="15"/>
      <c r="F642" s="14"/>
      <c r="G642" s="14"/>
      <c r="H642" s="14"/>
    </row>
    <row r="643" spans="1:8" x14ac:dyDescent="0.3">
      <c r="A643" s="13"/>
      <c r="B643" s="16">
        <f>IF($A643=InvestorTable[[#This Row],[Investor Tally '#]],InvestorTable[[#This Row],[Investor Name]], NA())</f>
        <v>0</v>
      </c>
      <c r="C643" s="14"/>
      <c r="D643" s="17" t="e" cm="1">
        <f t="array" ref="D643">_xlfn.IFS(AND(InvestorTable[[#This Row],[Investor Tally '#]] = 'Payment Tracker'!$A643, 'Payment Tracker'!$C643="Dividend") = TRUE, InvestorTable[[#This Row],[Monthly ROI (₦)]], AND(InvestorTable[[#This Row],[Investor Tally '#]] = 'Payment Tracker'!$A643, 'Payment Tracker'!$C643="Capital") = TRUE, InvestorTable[[#This Row],[Investment Capital (₦)]], AND(InvestorTable[[#This Row],[Investor Tally '#]] = 'Payment Tracker'!$A643, 'Payment Tracker'!$C643="Refund") = TRUE, InvestorTable[[#This Row],[Investment Capital (₦)]] )</f>
        <v>#N/A</v>
      </c>
      <c r="E643" s="15"/>
      <c r="F643" s="14"/>
      <c r="G643" s="14"/>
      <c r="H643" s="14"/>
    </row>
    <row r="644" spans="1:8" x14ac:dyDescent="0.3">
      <c r="A644" s="13"/>
      <c r="B644" s="16">
        <f>IF($A644=InvestorTable[[#This Row],[Investor Tally '#]],InvestorTable[[#This Row],[Investor Name]], NA())</f>
        <v>0</v>
      </c>
      <c r="C644" s="14"/>
      <c r="D644" s="17" t="e" cm="1">
        <f t="array" ref="D644">_xlfn.IFS(AND(InvestorTable[[#This Row],[Investor Tally '#]] = 'Payment Tracker'!$A644, 'Payment Tracker'!$C644="Dividend") = TRUE, InvestorTable[[#This Row],[Monthly ROI (₦)]], AND(InvestorTable[[#This Row],[Investor Tally '#]] = 'Payment Tracker'!$A644, 'Payment Tracker'!$C644="Capital") = TRUE, InvestorTable[[#This Row],[Investment Capital (₦)]], AND(InvestorTable[[#This Row],[Investor Tally '#]] = 'Payment Tracker'!$A644, 'Payment Tracker'!$C644="Refund") = TRUE, InvestorTable[[#This Row],[Investment Capital (₦)]] )</f>
        <v>#N/A</v>
      </c>
      <c r="E644" s="15"/>
      <c r="F644" s="14"/>
      <c r="G644" s="14"/>
      <c r="H644" s="14"/>
    </row>
    <row r="645" spans="1:8" x14ac:dyDescent="0.3">
      <c r="A645" s="13"/>
      <c r="B645" s="16">
        <f>IF($A645=InvestorTable[[#This Row],[Investor Tally '#]],InvestorTable[[#This Row],[Investor Name]], NA())</f>
        <v>0</v>
      </c>
      <c r="C645" s="14"/>
      <c r="D645" s="17" t="e" cm="1">
        <f t="array" ref="D645">_xlfn.IFS(AND(InvestorTable[[#This Row],[Investor Tally '#]] = 'Payment Tracker'!$A645, 'Payment Tracker'!$C645="Dividend") = TRUE, InvestorTable[[#This Row],[Monthly ROI (₦)]], AND(InvestorTable[[#This Row],[Investor Tally '#]] = 'Payment Tracker'!$A645, 'Payment Tracker'!$C645="Capital") = TRUE, InvestorTable[[#This Row],[Investment Capital (₦)]], AND(InvestorTable[[#This Row],[Investor Tally '#]] = 'Payment Tracker'!$A645, 'Payment Tracker'!$C645="Refund") = TRUE, InvestorTable[[#This Row],[Investment Capital (₦)]] )</f>
        <v>#N/A</v>
      </c>
      <c r="E645" s="15"/>
      <c r="F645" s="14"/>
      <c r="G645" s="14"/>
      <c r="H645" s="14"/>
    </row>
    <row r="646" spans="1:8" x14ac:dyDescent="0.3">
      <c r="A646" s="13"/>
      <c r="B646" s="16">
        <f>IF($A646=InvestorTable[[#This Row],[Investor Tally '#]],InvestorTable[[#This Row],[Investor Name]], NA())</f>
        <v>0</v>
      </c>
      <c r="C646" s="14"/>
      <c r="D646" s="17" t="e" cm="1">
        <f t="array" ref="D646">_xlfn.IFS(AND(InvestorTable[[#This Row],[Investor Tally '#]] = 'Payment Tracker'!$A646, 'Payment Tracker'!$C646="Dividend") = TRUE, InvestorTable[[#This Row],[Monthly ROI (₦)]], AND(InvestorTable[[#This Row],[Investor Tally '#]] = 'Payment Tracker'!$A646, 'Payment Tracker'!$C646="Capital") = TRUE, InvestorTable[[#This Row],[Investment Capital (₦)]], AND(InvestorTable[[#This Row],[Investor Tally '#]] = 'Payment Tracker'!$A646, 'Payment Tracker'!$C646="Refund") = TRUE, InvestorTable[[#This Row],[Investment Capital (₦)]] )</f>
        <v>#N/A</v>
      </c>
      <c r="E646" s="15"/>
      <c r="F646" s="14"/>
      <c r="G646" s="14"/>
      <c r="H646" s="14"/>
    </row>
    <row r="647" spans="1:8" x14ac:dyDescent="0.3">
      <c r="A647" s="13"/>
      <c r="B647" s="16">
        <f>IF($A647=InvestorTable[[#This Row],[Investor Tally '#]],InvestorTable[[#This Row],[Investor Name]], NA())</f>
        <v>0</v>
      </c>
      <c r="C647" s="14"/>
      <c r="D647" s="17" t="e" cm="1">
        <f t="array" ref="D647">_xlfn.IFS(AND(InvestorTable[[#This Row],[Investor Tally '#]] = 'Payment Tracker'!$A647, 'Payment Tracker'!$C647="Dividend") = TRUE, InvestorTable[[#This Row],[Monthly ROI (₦)]], AND(InvestorTable[[#This Row],[Investor Tally '#]] = 'Payment Tracker'!$A647, 'Payment Tracker'!$C647="Capital") = TRUE, InvestorTable[[#This Row],[Investment Capital (₦)]], AND(InvestorTable[[#This Row],[Investor Tally '#]] = 'Payment Tracker'!$A647, 'Payment Tracker'!$C647="Refund") = TRUE, InvestorTable[[#This Row],[Investment Capital (₦)]] )</f>
        <v>#N/A</v>
      </c>
      <c r="E647" s="15"/>
      <c r="F647" s="14"/>
      <c r="G647" s="14"/>
      <c r="H647" s="14"/>
    </row>
    <row r="648" spans="1:8" x14ac:dyDescent="0.3">
      <c r="A648" s="13"/>
      <c r="B648" s="16">
        <f>IF($A648=InvestorTable[[#This Row],[Investor Tally '#]],InvestorTable[[#This Row],[Investor Name]], NA())</f>
        <v>0</v>
      </c>
      <c r="C648" s="14"/>
      <c r="D648" s="17" t="e" cm="1">
        <f t="array" ref="D648">_xlfn.IFS(AND(InvestorTable[[#This Row],[Investor Tally '#]] = 'Payment Tracker'!$A648, 'Payment Tracker'!$C648="Dividend") = TRUE, InvestorTable[[#This Row],[Monthly ROI (₦)]], AND(InvestorTable[[#This Row],[Investor Tally '#]] = 'Payment Tracker'!$A648, 'Payment Tracker'!$C648="Capital") = TRUE, InvestorTable[[#This Row],[Investment Capital (₦)]], AND(InvestorTable[[#This Row],[Investor Tally '#]] = 'Payment Tracker'!$A648, 'Payment Tracker'!$C648="Refund") = TRUE, InvestorTable[[#This Row],[Investment Capital (₦)]] )</f>
        <v>#N/A</v>
      </c>
      <c r="E648" s="15"/>
      <c r="F648" s="14"/>
      <c r="G648" s="14"/>
      <c r="H648" s="14"/>
    </row>
    <row r="649" spans="1:8" x14ac:dyDescent="0.3">
      <c r="A649" s="13"/>
      <c r="B649" s="16">
        <f>IF($A649=InvestorTable[[#This Row],[Investor Tally '#]],InvestorTable[[#This Row],[Investor Name]], NA())</f>
        <v>0</v>
      </c>
      <c r="C649" s="14"/>
      <c r="D649" s="17" t="e" cm="1">
        <f t="array" ref="D649">_xlfn.IFS(AND(InvestorTable[[#This Row],[Investor Tally '#]] = 'Payment Tracker'!$A649, 'Payment Tracker'!$C649="Dividend") = TRUE, InvestorTable[[#This Row],[Monthly ROI (₦)]], AND(InvestorTable[[#This Row],[Investor Tally '#]] = 'Payment Tracker'!$A649, 'Payment Tracker'!$C649="Capital") = TRUE, InvestorTable[[#This Row],[Investment Capital (₦)]], AND(InvestorTable[[#This Row],[Investor Tally '#]] = 'Payment Tracker'!$A649, 'Payment Tracker'!$C649="Refund") = TRUE, InvestorTable[[#This Row],[Investment Capital (₦)]] )</f>
        <v>#N/A</v>
      </c>
      <c r="E649" s="15"/>
      <c r="F649" s="14"/>
      <c r="G649" s="14"/>
      <c r="H649" s="14"/>
    </row>
    <row r="650" spans="1:8" x14ac:dyDescent="0.3">
      <c r="A650" s="13"/>
      <c r="B650" s="16">
        <f>IF($A650=InvestorTable[[#This Row],[Investor Tally '#]],InvestorTable[[#This Row],[Investor Name]], NA())</f>
        <v>0</v>
      </c>
      <c r="C650" s="14"/>
      <c r="D650" s="17" t="e" cm="1">
        <f t="array" ref="D650">_xlfn.IFS(AND(InvestorTable[[#This Row],[Investor Tally '#]] = 'Payment Tracker'!$A650, 'Payment Tracker'!$C650="Dividend") = TRUE, InvestorTable[[#This Row],[Monthly ROI (₦)]], AND(InvestorTable[[#This Row],[Investor Tally '#]] = 'Payment Tracker'!$A650, 'Payment Tracker'!$C650="Capital") = TRUE, InvestorTable[[#This Row],[Investment Capital (₦)]], AND(InvestorTable[[#This Row],[Investor Tally '#]] = 'Payment Tracker'!$A650, 'Payment Tracker'!$C650="Refund") = TRUE, InvestorTable[[#This Row],[Investment Capital (₦)]] )</f>
        <v>#N/A</v>
      </c>
      <c r="E650" s="15"/>
      <c r="F650" s="14"/>
      <c r="G650" s="14"/>
      <c r="H650" s="14"/>
    </row>
    <row r="651" spans="1:8" x14ac:dyDescent="0.3">
      <c r="A651" s="13"/>
      <c r="B651" s="16">
        <f>IF($A651=InvestorTable[[#This Row],[Investor Tally '#]],InvestorTable[[#This Row],[Investor Name]], NA())</f>
        <v>0</v>
      </c>
      <c r="C651" s="14"/>
      <c r="D651" s="17" t="e" cm="1">
        <f t="array" ref="D651">_xlfn.IFS(AND(InvestorTable[[#This Row],[Investor Tally '#]] = 'Payment Tracker'!$A651, 'Payment Tracker'!$C651="Dividend") = TRUE, InvestorTable[[#This Row],[Monthly ROI (₦)]], AND(InvestorTable[[#This Row],[Investor Tally '#]] = 'Payment Tracker'!$A651, 'Payment Tracker'!$C651="Capital") = TRUE, InvestorTable[[#This Row],[Investment Capital (₦)]], AND(InvestorTable[[#This Row],[Investor Tally '#]] = 'Payment Tracker'!$A651, 'Payment Tracker'!$C651="Refund") = TRUE, InvestorTable[[#This Row],[Investment Capital (₦)]] )</f>
        <v>#N/A</v>
      </c>
      <c r="E651" s="15"/>
      <c r="F651" s="14"/>
      <c r="G651" s="14"/>
      <c r="H651" s="14"/>
    </row>
    <row r="652" spans="1:8" x14ac:dyDescent="0.3">
      <c r="A652" s="13"/>
      <c r="B652" s="16">
        <f>IF($A652=InvestorTable[[#This Row],[Investor Tally '#]],InvestorTable[[#This Row],[Investor Name]], NA())</f>
        <v>0</v>
      </c>
      <c r="C652" s="14"/>
      <c r="D652" s="17" t="e" cm="1">
        <f t="array" ref="D652">_xlfn.IFS(AND(InvestorTable[[#This Row],[Investor Tally '#]] = 'Payment Tracker'!$A652, 'Payment Tracker'!$C652="Dividend") = TRUE, InvestorTable[[#This Row],[Monthly ROI (₦)]], AND(InvestorTable[[#This Row],[Investor Tally '#]] = 'Payment Tracker'!$A652, 'Payment Tracker'!$C652="Capital") = TRUE, InvestorTable[[#This Row],[Investment Capital (₦)]], AND(InvestorTable[[#This Row],[Investor Tally '#]] = 'Payment Tracker'!$A652, 'Payment Tracker'!$C652="Refund") = TRUE, InvestorTable[[#This Row],[Investment Capital (₦)]] )</f>
        <v>#N/A</v>
      </c>
      <c r="E652" s="15"/>
      <c r="F652" s="14"/>
      <c r="G652" s="14"/>
      <c r="H652" s="14"/>
    </row>
    <row r="653" spans="1:8" x14ac:dyDescent="0.3">
      <c r="A653" s="13"/>
      <c r="B653" s="16">
        <f>IF($A653=InvestorTable[[#This Row],[Investor Tally '#]],InvestorTable[[#This Row],[Investor Name]], NA())</f>
        <v>0</v>
      </c>
      <c r="C653" s="14"/>
      <c r="D653" s="17" t="e" cm="1">
        <f t="array" ref="D653">_xlfn.IFS(AND(InvestorTable[[#This Row],[Investor Tally '#]] = 'Payment Tracker'!$A653, 'Payment Tracker'!$C653="Dividend") = TRUE, InvestorTable[[#This Row],[Monthly ROI (₦)]], AND(InvestorTable[[#This Row],[Investor Tally '#]] = 'Payment Tracker'!$A653, 'Payment Tracker'!$C653="Capital") = TRUE, InvestorTable[[#This Row],[Investment Capital (₦)]], AND(InvestorTable[[#This Row],[Investor Tally '#]] = 'Payment Tracker'!$A653, 'Payment Tracker'!$C653="Refund") = TRUE, InvestorTable[[#This Row],[Investment Capital (₦)]] )</f>
        <v>#N/A</v>
      </c>
      <c r="E653" s="15"/>
      <c r="F653" s="14"/>
      <c r="G653" s="14"/>
      <c r="H653" s="14"/>
    </row>
    <row r="654" spans="1:8" x14ac:dyDescent="0.3">
      <c r="A654" s="13"/>
      <c r="B654" s="16">
        <f>IF($A654=InvestorTable[[#This Row],[Investor Tally '#]],InvestorTable[[#This Row],[Investor Name]], NA())</f>
        <v>0</v>
      </c>
      <c r="C654" s="14"/>
      <c r="D654" s="17" t="e" cm="1">
        <f t="array" ref="D654">_xlfn.IFS(AND(InvestorTable[[#This Row],[Investor Tally '#]] = 'Payment Tracker'!$A654, 'Payment Tracker'!$C654="Dividend") = TRUE, InvestorTable[[#This Row],[Monthly ROI (₦)]], AND(InvestorTable[[#This Row],[Investor Tally '#]] = 'Payment Tracker'!$A654, 'Payment Tracker'!$C654="Capital") = TRUE, InvestorTable[[#This Row],[Investment Capital (₦)]], AND(InvestorTable[[#This Row],[Investor Tally '#]] = 'Payment Tracker'!$A654, 'Payment Tracker'!$C654="Refund") = TRUE, InvestorTable[[#This Row],[Investment Capital (₦)]] )</f>
        <v>#N/A</v>
      </c>
      <c r="E654" s="15"/>
      <c r="F654" s="14"/>
      <c r="G654" s="14"/>
      <c r="H654" s="14"/>
    </row>
    <row r="655" spans="1:8" x14ac:dyDescent="0.3">
      <c r="A655" s="13"/>
      <c r="B655" s="16">
        <f>IF($A655=InvestorTable[[#This Row],[Investor Tally '#]],InvestorTable[[#This Row],[Investor Name]], NA())</f>
        <v>0</v>
      </c>
      <c r="C655" s="14"/>
      <c r="D655" s="17" t="e" cm="1">
        <f t="array" ref="D655">_xlfn.IFS(AND(InvestorTable[[#This Row],[Investor Tally '#]] = 'Payment Tracker'!$A655, 'Payment Tracker'!$C655="Dividend") = TRUE, InvestorTable[[#This Row],[Monthly ROI (₦)]], AND(InvestorTable[[#This Row],[Investor Tally '#]] = 'Payment Tracker'!$A655, 'Payment Tracker'!$C655="Capital") = TRUE, InvestorTable[[#This Row],[Investment Capital (₦)]], AND(InvestorTable[[#This Row],[Investor Tally '#]] = 'Payment Tracker'!$A655, 'Payment Tracker'!$C655="Refund") = TRUE, InvestorTable[[#This Row],[Investment Capital (₦)]] )</f>
        <v>#N/A</v>
      </c>
      <c r="E655" s="15"/>
      <c r="F655" s="14"/>
      <c r="G655" s="14"/>
      <c r="H655" s="14"/>
    </row>
    <row r="656" spans="1:8" x14ac:dyDescent="0.3">
      <c r="A656" s="13"/>
      <c r="B656" s="16">
        <f>IF($A656=InvestorTable[[#This Row],[Investor Tally '#]],InvestorTable[[#This Row],[Investor Name]], NA())</f>
        <v>0</v>
      </c>
      <c r="C656" s="14"/>
      <c r="D656" s="17" t="e" cm="1">
        <f t="array" ref="D656">_xlfn.IFS(AND(InvestorTable[[#This Row],[Investor Tally '#]] = 'Payment Tracker'!$A656, 'Payment Tracker'!$C656="Dividend") = TRUE, InvestorTable[[#This Row],[Monthly ROI (₦)]], AND(InvestorTable[[#This Row],[Investor Tally '#]] = 'Payment Tracker'!$A656, 'Payment Tracker'!$C656="Capital") = TRUE, InvestorTable[[#This Row],[Investment Capital (₦)]], AND(InvestorTable[[#This Row],[Investor Tally '#]] = 'Payment Tracker'!$A656, 'Payment Tracker'!$C656="Refund") = TRUE, InvestorTable[[#This Row],[Investment Capital (₦)]] )</f>
        <v>#N/A</v>
      </c>
      <c r="E656" s="15"/>
      <c r="F656" s="14"/>
      <c r="G656" s="14"/>
      <c r="H656" s="14"/>
    </row>
    <row r="657" spans="1:8" x14ac:dyDescent="0.3">
      <c r="A657" s="13"/>
      <c r="B657" s="16">
        <f>IF($A657=InvestorTable[[#This Row],[Investor Tally '#]],InvestorTable[[#This Row],[Investor Name]], NA())</f>
        <v>0</v>
      </c>
      <c r="C657" s="14"/>
      <c r="D657" s="17" t="e" cm="1">
        <f t="array" ref="D657">_xlfn.IFS(AND(InvestorTable[[#This Row],[Investor Tally '#]] = 'Payment Tracker'!$A657, 'Payment Tracker'!$C657="Dividend") = TRUE, InvestorTable[[#This Row],[Monthly ROI (₦)]], AND(InvestorTable[[#This Row],[Investor Tally '#]] = 'Payment Tracker'!$A657, 'Payment Tracker'!$C657="Capital") = TRUE, InvestorTable[[#This Row],[Investment Capital (₦)]], AND(InvestorTable[[#This Row],[Investor Tally '#]] = 'Payment Tracker'!$A657, 'Payment Tracker'!$C657="Refund") = TRUE, InvestorTable[[#This Row],[Investment Capital (₦)]] )</f>
        <v>#N/A</v>
      </c>
      <c r="E657" s="15"/>
      <c r="F657" s="14"/>
      <c r="G657" s="14"/>
      <c r="H657" s="14"/>
    </row>
    <row r="658" spans="1:8" x14ac:dyDescent="0.3">
      <c r="A658" s="13"/>
      <c r="B658" s="16">
        <f>IF($A658=InvestorTable[[#This Row],[Investor Tally '#]],InvestorTable[[#This Row],[Investor Name]], NA())</f>
        <v>0</v>
      </c>
      <c r="C658" s="14"/>
      <c r="D658" s="17" t="e" cm="1">
        <f t="array" ref="D658">_xlfn.IFS(AND(InvestorTable[[#This Row],[Investor Tally '#]] = 'Payment Tracker'!$A658, 'Payment Tracker'!$C658="Dividend") = TRUE, InvestorTable[[#This Row],[Monthly ROI (₦)]], AND(InvestorTable[[#This Row],[Investor Tally '#]] = 'Payment Tracker'!$A658, 'Payment Tracker'!$C658="Capital") = TRUE, InvestorTable[[#This Row],[Investment Capital (₦)]], AND(InvestorTable[[#This Row],[Investor Tally '#]] = 'Payment Tracker'!$A658, 'Payment Tracker'!$C658="Refund") = TRUE, InvestorTable[[#This Row],[Investment Capital (₦)]] )</f>
        <v>#N/A</v>
      </c>
      <c r="E658" s="15"/>
      <c r="F658" s="14"/>
      <c r="G658" s="14"/>
      <c r="H658" s="14"/>
    </row>
    <row r="659" spans="1:8" x14ac:dyDescent="0.3">
      <c r="A659" s="13"/>
      <c r="B659" s="16">
        <f>IF($A659=InvestorTable[[#This Row],[Investor Tally '#]],InvestorTable[[#This Row],[Investor Name]], NA())</f>
        <v>0</v>
      </c>
      <c r="C659" s="14"/>
      <c r="D659" s="17" t="e" cm="1">
        <f t="array" ref="D659">_xlfn.IFS(AND(InvestorTable[[#This Row],[Investor Tally '#]] = 'Payment Tracker'!$A659, 'Payment Tracker'!$C659="Dividend") = TRUE, InvestorTable[[#This Row],[Monthly ROI (₦)]], AND(InvestorTable[[#This Row],[Investor Tally '#]] = 'Payment Tracker'!$A659, 'Payment Tracker'!$C659="Capital") = TRUE, InvestorTable[[#This Row],[Investment Capital (₦)]], AND(InvestorTable[[#This Row],[Investor Tally '#]] = 'Payment Tracker'!$A659, 'Payment Tracker'!$C659="Refund") = TRUE, InvestorTable[[#This Row],[Investment Capital (₦)]] )</f>
        <v>#N/A</v>
      </c>
      <c r="E659" s="15"/>
      <c r="F659" s="14"/>
      <c r="G659" s="14"/>
      <c r="H659" s="14"/>
    </row>
    <row r="660" spans="1:8" x14ac:dyDescent="0.3">
      <c r="A660" s="13"/>
      <c r="B660" s="16">
        <f>IF($A660=InvestorTable[[#This Row],[Investor Tally '#]],InvestorTable[[#This Row],[Investor Name]], NA())</f>
        <v>0</v>
      </c>
      <c r="C660" s="14"/>
      <c r="D660" s="17" t="e" cm="1">
        <f t="array" ref="D660">_xlfn.IFS(AND(InvestorTable[[#This Row],[Investor Tally '#]] = 'Payment Tracker'!$A660, 'Payment Tracker'!$C660="Dividend") = TRUE, InvestorTable[[#This Row],[Monthly ROI (₦)]], AND(InvestorTable[[#This Row],[Investor Tally '#]] = 'Payment Tracker'!$A660, 'Payment Tracker'!$C660="Capital") = TRUE, InvestorTable[[#This Row],[Investment Capital (₦)]], AND(InvestorTable[[#This Row],[Investor Tally '#]] = 'Payment Tracker'!$A660, 'Payment Tracker'!$C660="Refund") = TRUE, InvestorTable[[#This Row],[Investment Capital (₦)]] )</f>
        <v>#N/A</v>
      </c>
      <c r="E660" s="15"/>
      <c r="F660" s="14"/>
      <c r="G660" s="14"/>
      <c r="H660" s="14"/>
    </row>
    <row r="661" spans="1:8" x14ac:dyDescent="0.3">
      <c r="A661" s="13"/>
      <c r="B661" s="16">
        <f>IF($A661=InvestorTable[[#This Row],[Investor Tally '#]],InvestorTable[[#This Row],[Investor Name]], NA())</f>
        <v>0</v>
      </c>
      <c r="C661" s="14"/>
      <c r="D661" s="17" t="e" cm="1">
        <f t="array" ref="D661">_xlfn.IFS(AND(InvestorTable[[#This Row],[Investor Tally '#]] = 'Payment Tracker'!$A661, 'Payment Tracker'!$C661="Dividend") = TRUE, InvestorTable[[#This Row],[Monthly ROI (₦)]], AND(InvestorTable[[#This Row],[Investor Tally '#]] = 'Payment Tracker'!$A661, 'Payment Tracker'!$C661="Capital") = TRUE, InvestorTable[[#This Row],[Investment Capital (₦)]], AND(InvestorTable[[#This Row],[Investor Tally '#]] = 'Payment Tracker'!$A661, 'Payment Tracker'!$C661="Refund") = TRUE, InvestorTable[[#This Row],[Investment Capital (₦)]] )</f>
        <v>#N/A</v>
      </c>
      <c r="E661" s="15"/>
      <c r="F661" s="14"/>
      <c r="G661" s="14"/>
      <c r="H661" s="14"/>
    </row>
    <row r="662" spans="1:8" x14ac:dyDescent="0.3">
      <c r="A662" s="13"/>
      <c r="B662" s="16">
        <f>IF($A662=InvestorTable[[#This Row],[Investor Tally '#]],InvestorTable[[#This Row],[Investor Name]], NA())</f>
        <v>0</v>
      </c>
      <c r="C662" s="14"/>
      <c r="D662" s="17" t="e" cm="1">
        <f t="array" ref="D662">_xlfn.IFS(AND(InvestorTable[[#This Row],[Investor Tally '#]] = 'Payment Tracker'!$A662, 'Payment Tracker'!$C662="Dividend") = TRUE, InvestorTable[[#This Row],[Monthly ROI (₦)]], AND(InvestorTable[[#This Row],[Investor Tally '#]] = 'Payment Tracker'!$A662, 'Payment Tracker'!$C662="Capital") = TRUE, InvestorTable[[#This Row],[Investment Capital (₦)]], AND(InvestorTable[[#This Row],[Investor Tally '#]] = 'Payment Tracker'!$A662, 'Payment Tracker'!$C662="Refund") = TRUE, InvestorTable[[#This Row],[Investment Capital (₦)]] )</f>
        <v>#N/A</v>
      </c>
      <c r="E662" s="15"/>
      <c r="F662" s="14"/>
      <c r="G662" s="14"/>
      <c r="H662" s="14"/>
    </row>
    <row r="663" spans="1:8" x14ac:dyDescent="0.3">
      <c r="A663" s="13"/>
      <c r="B663" s="16">
        <f>IF($A663=InvestorTable[[#This Row],[Investor Tally '#]],InvestorTable[[#This Row],[Investor Name]], NA())</f>
        <v>0</v>
      </c>
      <c r="C663" s="14"/>
      <c r="D663" s="17" t="e" cm="1">
        <f t="array" ref="D663">_xlfn.IFS(AND(InvestorTable[[#This Row],[Investor Tally '#]] = 'Payment Tracker'!$A663, 'Payment Tracker'!$C663="Dividend") = TRUE, InvestorTable[[#This Row],[Monthly ROI (₦)]], AND(InvestorTable[[#This Row],[Investor Tally '#]] = 'Payment Tracker'!$A663, 'Payment Tracker'!$C663="Capital") = TRUE, InvestorTable[[#This Row],[Investment Capital (₦)]], AND(InvestorTable[[#This Row],[Investor Tally '#]] = 'Payment Tracker'!$A663, 'Payment Tracker'!$C663="Refund") = TRUE, InvestorTable[[#This Row],[Investment Capital (₦)]] )</f>
        <v>#N/A</v>
      </c>
      <c r="E663" s="15"/>
      <c r="F663" s="14"/>
      <c r="G663" s="14"/>
      <c r="H663" s="14"/>
    </row>
    <row r="664" spans="1:8" x14ac:dyDescent="0.3">
      <c r="A664" s="13"/>
      <c r="B664" s="16">
        <f>IF($A664=InvestorTable[[#This Row],[Investor Tally '#]],InvestorTable[[#This Row],[Investor Name]], NA())</f>
        <v>0</v>
      </c>
      <c r="C664" s="14"/>
      <c r="D664" s="17" t="e" cm="1">
        <f t="array" ref="D664">_xlfn.IFS(AND(InvestorTable[[#This Row],[Investor Tally '#]] = 'Payment Tracker'!$A664, 'Payment Tracker'!$C664="Dividend") = TRUE, InvestorTable[[#This Row],[Monthly ROI (₦)]], AND(InvestorTable[[#This Row],[Investor Tally '#]] = 'Payment Tracker'!$A664, 'Payment Tracker'!$C664="Capital") = TRUE, InvestorTable[[#This Row],[Investment Capital (₦)]], AND(InvestorTable[[#This Row],[Investor Tally '#]] = 'Payment Tracker'!$A664, 'Payment Tracker'!$C664="Refund") = TRUE, InvestorTable[[#This Row],[Investment Capital (₦)]] )</f>
        <v>#N/A</v>
      </c>
      <c r="E664" s="15"/>
      <c r="F664" s="14"/>
      <c r="G664" s="14"/>
      <c r="H664" s="14"/>
    </row>
    <row r="665" spans="1:8" x14ac:dyDescent="0.3">
      <c r="A665" s="13"/>
      <c r="B665" s="16">
        <f>IF($A665=InvestorTable[[#This Row],[Investor Tally '#]],InvestorTable[[#This Row],[Investor Name]], NA())</f>
        <v>0</v>
      </c>
      <c r="C665" s="14"/>
      <c r="D665" s="17" t="e" cm="1">
        <f t="array" ref="D665">_xlfn.IFS(AND(InvestorTable[[#This Row],[Investor Tally '#]] = 'Payment Tracker'!$A665, 'Payment Tracker'!$C665="Dividend") = TRUE, InvestorTable[[#This Row],[Monthly ROI (₦)]], AND(InvestorTable[[#This Row],[Investor Tally '#]] = 'Payment Tracker'!$A665, 'Payment Tracker'!$C665="Capital") = TRUE, InvestorTable[[#This Row],[Investment Capital (₦)]], AND(InvestorTable[[#This Row],[Investor Tally '#]] = 'Payment Tracker'!$A665, 'Payment Tracker'!$C665="Refund") = TRUE, InvestorTable[[#This Row],[Investment Capital (₦)]] )</f>
        <v>#N/A</v>
      </c>
      <c r="E665" s="15"/>
      <c r="F665" s="14"/>
      <c r="G665" s="14"/>
      <c r="H665" s="14"/>
    </row>
    <row r="666" spans="1:8" x14ac:dyDescent="0.3">
      <c r="A666" s="13"/>
      <c r="B666" s="16">
        <f>IF($A666=InvestorTable[[#This Row],[Investor Tally '#]],InvestorTable[[#This Row],[Investor Name]], NA())</f>
        <v>0</v>
      </c>
      <c r="C666" s="14"/>
      <c r="D666" s="17" t="e" cm="1">
        <f t="array" ref="D666">_xlfn.IFS(AND(InvestorTable[[#This Row],[Investor Tally '#]] = 'Payment Tracker'!$A666, 'Payment Tracker'!$C666="Dividend") = TRUE, InvestorTable[[#This Row],[Monthly ROI (₦)]], AND(InvestorTable[[#This Row],[Investor Tally '#]] = 'Payment Tracker'!$A666, 'Payment Tracker'!$C666="Capital") = TRUE, InvestorTable[[#This Row],[Investment Capital (₦)]], AND(InvestorTable[[#This Row],[Investor Tally '#]] = 'Payment Tracker'!$A666, 'Payment Tracker'!$C666="Refund") = TRUE, InvestorTable[[#This Row],[Investment Capital (₦)]] )</f>
        <v>#N/A</v>
      </c>
      <c r="E666" s="15"/>
      <c r="F666" s="14"/>
      <c r="G666" s="14"/>
      <c r="H666" s="14"/>
    </row>
    <row r="667" spans="1:8" x14ac:dyDescent="0.3">
      <c r="A667" s="13"/>
      <c r="B667" s="16">
        <f>IF($A667=InvestorTable[[#This Row],[Investor Tally '#]],InvestorTable[[#This Row],[Investor Name]], NA())</f>
        <v>0</v>
      </c>
      <c r="C667" s="14"/>
      <c r="D667" s="17" t="e" cm="1">
        <f t="array" ref="D667">_xlfn.IFS(AND(InvestorTable[[#This Row],[Investor Tally '#]] = 'Payment Tracker'!$A667, 'Payment Tracker'!$C667="Dividend") = TRUE, InvestorTable[[#This Row],[Monthly ROI (₦)]], AND(InvestorTable[[#This Row],[Investor Tally '#]] = 'Payment Tracker'!$A667, 'Payment Tracker'!$C667="Capital") = TRUE, InvestorTable[[#This Row],[Investment Capital (₦)]], AND(InvestorTable[[#This Row],[Investor Tally '#]] = 'Payment Tracker'!$A667, 'Payment Tracker'!$C667="Refund") = TRUE, InvestorTable[[#This Row],[Investment Capital (₦)]] )</f>
        <v>#N/A</v>
      </c>
      <c r="E667" s="15"/>
      <c r="F667" s="14"/>
      <c r="G667" s="14"/>
      <c r="H667" s="14"/>
    </row>
    <row r="668" spans="1:8" x14ac:dyDescent="0.3">
      <c r="A668" s="13"/>
      <c r="B668" s="16">
        <f>IF($A668=InvestorTable[[#This Row],[Investor Tally '#]],InvestorTable[[#This Row],[Investor Name]], NA())</f>
        <v>0</v>
      </c>
      <c r="C668" s="14"/>
      <c r="D668" s="17" t="e" cm="1">
        <f t="array" ref="D668">_xlfn.IFS(AND(InvestorTable[[#This Row],[Investor Tally '#]] = 'Payment Tracker'!$A668, 'Payment Tracker'!$C668="Dividend") = TRUE, InvestorTable[[#This Row],[Monthly ROI (₦)]], AND(InvestorTable[[#This Row],[Investor Tally '#]] = 'Payment Tracker'!$A668, 'Payment Tracker'!$C668="Capital") = TRUE, InvestorTable[[#This Row],[Investment Capital (₦)]], AND(InvestorTable[[#This Row],[Investor Tally '#]] = 'Payment Tracker'!$A668, 'Payment Tracker'!$C668="Refund") = TRUE, InvestorTable[[#This Row],[Investment Capital (₦)]] )</f>
        <v>#N/A</v>
      </c>
      <c r="E668" s="15"/>
      <c r="F668" s="14"/>
      <c r="G668" s="14"/>
      <c r="H668" s="14"/>
    </row>
    <row r="669" spans="1:8" x14ac:dyDescent="0.3">
      <c r="A669" s="13"/>
      <c r="B669" s="16">
        <f>IF($A669=InvestorTable[[#This Row],[Investor Tally '#]],InvestorTable[[#This Row],[Investor Name]], NA())</f>
        <v>0</v>
      </c>
      <c r="C669" s="14"/>
      <c r="D669" s="17" t="e" cm="1">
        <f t="array" ref="D669">_xlfn.IFS(AND(InvestorTable[[#This Row],[Investor Tally '#]] = 'Payment Tracker'!$A669, 'Payment Tracker'!$C669="Dividend") = TRUE, InvestorTable[[#This Row],[Monthly ROI (₦)]], AND(InvestorTable[[#This Row],[Investor Tally '#]] = 'Payment Tracker'!$A669, 'Payment Tracker'!$C669="Capital") = TRUE, InvestorTable[[#This Row],[Investment Capital (₦)]], AND(InvestorTable[[#This Row],[Investor Tally '#]] = 'Payment Tracker'!$A669, 'Payment Tracker'!$C669="Refund") = TRUE, InvestorTable[[#This Row],[Investment Capital (₦)]] )</f>
        <v>#N/A</v>
      </c>
      <c r="E669" s="15"/>
      <c r="F669" s="14"/>
      <c r="G669" s="14"/>
      <c r="H669" s="14"/>
    </row>
    <row r="670" spans="1:8" x14ac:dyDescent="0.3">
      <c r="A670" s="13"/>
      <c r="B670" s="16">
        <f>IF($A670=InvestorTable[[#This Row],[Investor Tally '#]],InvestorTable[[#This Row],[Investor Name]], NA())</f>
        <v>0</v>
      </c>
      <c r="C670" s="14"/>
      <c r="D670" s="17" t="e" cm="1">
        <f t="array" ref="D670">_xlfn.IFS(AND(InvestorTable[[#This Row],[Investor Tally '#]] = 'Payment Tracker'!$A670, 'Payment Tracker'!$C670="Dividend") = TRUE, InvestorTable[[#This Row],[Monthly ROI (₦)]], AND(InvestorTable[[#This Row],[Investor Tally '#]] = 'Payment Tracker'!$A670, 'Payment Tracker'!$C670="Capital") = TRUE, InvestorTable[[#This Row],[Investment Capital (₦)]], AND(InvestorTable[[#This Row],[Investor Tally '#]] = 'Payment Tracker'!$A670, 'Payment Tracker'!$C670="Refund") = TRUE, InvestorTable[[#This Row],[Investment Capital (₦)]] )</f>
        <v>#N/A</v>
      </c>
      <c r="E670" s="15"/>
      <c r="F670" s="14"/>
      <c r="G670" s="14"/>
      <c r="H670" s="14"/>
    </row>
    <row r="671" spans="1:8" x14ac:dyDescent="0.3">
      <c r="A671" s="13"/>
      <c r="B671" s="16">
        <f>IF($A671=InvestorTable[[#This Row],[Investor Tally '#]],InvestorTable[[#This Row],[Investor Name]], NA())</f>
        <v>0</v>
      </c>
      <c r="C671" s="14"/>
      <c r="D671" s="17" t="e" cm="1">
        <f t="array" ref="D671">_xlfn.IFS(AND(InvestorTable[[#This Row],[Investor Tally '#]] = 'Payment Tracker'!$A671, 'Payment Tracker'!$C671="Dividend") = TRUE, InvestorTable[[#This Row],[Monthly ROI (₦)]], AND(InvestorTable[[#This Row],[Investor Tally '#]] = 'Payment Tracker'!$A671, 'Payment Tracker'!$C671="Capital") = TRUE, InvestorTable[[#This Row],[Investment Capital (₦)]], AND(InvestorTable[[#This Row],[Investor Tally '#]] = 'Payment Tracker'!$A671, 'Payment Tracker'!$C671="Refund") = TRUE, InvestorTable[[#This Row],[Investment Capital (₦)]] )</f>
        <v>#N/A</v>
      </c>
      <c r="E671" s="15"/>
      <c r="F671" s="14"/>
      <c r="G671" s="14"/>
      <c r="H671" s="14"/>
    </row>
    <row r="672" spans="1:8" x14ac:dyDescent="0.3">
      <c r="A672" s="13"/>
      <c r="B672" s="16">
        <f>IF($A672=InvestorTable[[#This Row],[Investor Tally '#]],InvestorTable[[#This Row],[Investor Name]], NA())</f>
        <v>0</v>
      </c>
      <c r="C672" s="14"/>
      <c r="D672" s="17" t="e" cm="1">
        <f t="array" ref="D672">_xlfn.IFS(AND(InvestorTable[[#This Row],[Investor Tally '#]] = 'Payment Tracker'!$A672, 'Payment Tracker'!$C672="Dividend") = TRUE, InvestorTable[[#This Row],[Monthly ROI (₦)]], AND(InvestorTable[[#This Row],[Investor Tally '#]] = 'Payment Tracker'!$A672, 'Payment Tracker'!$C672="Capital") = TRUE, InvestorTable[[#This Row],[Investment Capital (₦)]], AND(InvestorTable[[#This Row],[Investor Tally '#]] = 'Payment Tracker'!$A672, 'Payment Tracker'!$C672="Refund") = TRUE, InvestorTable[[#This Row],[Investment Capital (₦)]] )</f>
        <v>#N/A</v>
      </c>
      <c r="E672" s="15"/>
      <c r="F672" s="14"/>
      <c r="G672" s="14"/>
      <c r="H672" s="14"/>
    </row>
    <row r="673" spans="1:8" x14ac:dyDescent="0.3">
      <c r="A673" s="13"/>
      <c r="B673" s="16">
        <f>IF($A673=InvestorTable[[#This Row],[Investor Tally '#]],InvestorTable[[#This Row],[Investor Name]], NA())</f>
        <v>0</v>
      </c>
      <c r="C673" s="14"/>
      <c r="D673" s="17" t="e" cm="1">
        <f t="array" ref="D673">_xlfn.IFS(AND(InvestorTable[[#This Row],[Investor Tally '#]] = 'Payment Tracker'!$A673, 'Payment Tracker'!$C673="Dividend") = TRUE, InvestorTable[[#This Row],[Monthly ROI (₦)]], AND(InvestorTable[[#This Row],[Investor Tally '#]] = 'Payment Tracker'!$A673, 'Payment Tracker'!$C673="Capital") = TRUE, InvestorTable[[#This Row],[Investment Capital (₦)]], AND(InvestorTable[[#This Row],[Investor Tally '#]] = 'Payment Tracker'!$A673, 'Payment Tracker'!$C673="Refund") = TRUE, InvestorTable[[#This Row],[Investment Capital (₦)]] )</f>
        <v>#N/A</v>
      </c>
      <c r="E673" s="15"/>
      <c r="F673" s="14"/>
      <c r="G673" s="14"/>
      <c r="H673" s="14"/>
    </row>
    <row r="674" spans="1:8" x14ac:dyDescent="0.3">
      <c r="A674" s="13"/>
      <c r="B674" s="16">
        <f>IF($A674=InvestorTable[[#This Row],[Investor Tally '#]],InvestorTable[[#This Row],[Investor Name]], NA())</f>
        <v>0</v>
      </c>
      <c r="C674" s="14"/>
      <c r="D674" s="17" t="e" cm="1">
        <f t="array" ref="D674">_xlfn.IFS(AND(InvestorTable[[#This Row],[Investor Tally '#]] = 'Payment Tracker'!$A674, 'Payment Tracker'!$C674="Dividend") = TRUE, InvestorTable[[#This Row],[Monthly ROI (₦)]], AND(InvestorTable[[#This Row],[Investor Tally '#]] = 'Payment Tracker'!$A674, 'Payment Tracker'!$C674="Capital") = TRUE, InvestorTable[[#This Row],[Investment Capital (₦)]], AND(InvestorTable[[#This Row],[Investor Tally '#]] = 'Payment Tracker'!$A674, 'Payment Tracker'!$C674="Refund") = TRUE, InvestorTable[[#This Row],[Investment Capital (₦)]] )</f>
        <v>#N/A</v>
      </c>
      <c r="E674" s="15"/>
      <c r="F674" s="14"/>
      <c r="G674" s="14"/>
      <c r="H674" s="14"/>
    </row>
    <row r="675" spans="1:8" x14ac:dyDescent="0.3">
      <c r="A675" s="13"/>
      <c r="B675" s="16">
        <f>IF($A675=InvestorTable[[#This Row],[Investor Tally '#]],InvestorTable[[#This Row],[Investor Name]], NA())</f>
        <v>0</v>
      </c>
      <c r="C675" s="14"/>
      <c r="D675" s="17" t="e" cm="1">
        <f t="array" ref="D675">_xlfn.IFS(AND(InvestorTable[[#This Row],[Investor Tally '#]] = 'Payment Tracker'!$A675, 'Payment Tracker'!$C675="Dividend") = TRUE, InvestorTable[[#This Row],[Monthly ROI (₦)]], AND(InvestorTable[[#This Row],[Investor Tally '#]] = 'Payment Tracker'!$A675, 'Payment Tracker'!$C675="Capital") = TRUE, InvestorTable[[#This Row],[Investment Capital (₦)]], AND(InvestorTable[[#This Row],[Investor Tally '#]] = 'Payment Tracker'!$A675, 'Payment Tracker'!$C675="Refund") = TRUE, InvestorTable[[#This Row],[Investment Capital (₦)]] )</f>
        <v>#N/A</v>
      </c>
      <c r="E675" s="15"/>
      <c r="F675" s="14"/>
      <c r="G675" s="14"/>
      <c r="H675" s="14"/>
    </row>
    <row r="676" spans="1:8" x14ac:dyDescent="0.3">
      <c r="A676" s="13"/>
      <c r="B676" s="16">
        <f>IF($A676=InvestorTable[[#This Row],[Investor Tally '#]],InvestorTable[[#This Row],[Investor Name]], NA())</f>
        <v>0</v>
      </c>
      <c r="C676" s="14"/>
      <c r="D676" s="17" t="e" cm="1">
        <f t="array" ref="D676">_xlfn.IFS(AND(InvestorTable[[#This Row],[Investor Tally '#]] = 'Payment Tracker'!$A676, 'Payment Tracker'!$C676="Dividend") = TRUE, InvestorTable[[#This Row],[Monthly ROI (₦)]], AND(InvestorTable[[#This Row],[Investor Tally '#]] = 'Payment Tracker'!$A676, 'Payment Tracker'!$C676="Capital") = TRUE, InvestorTable[[#This Row],[Investment Capital (₦)]], AND(InvestorTable[[#This Row],[Investor Tally '#]] = 'Payment Tracker'!$A676, 'Payment Tracker'!$C676="Refund") = TRUE, InvestorTable[[#This Row],[Investment Capital (₦)]] )</f>
        <v>#N/A</v>
      </c>
      <c r="E676" s="15"/>
      <c r="F676" s="14"/>
      <c r="G676" s="14"/>
      <c r="H676" s="14"/>
    </row>
    <row r="677" spans="1:8" x14ac:dyDescent="0.3">
      <c r="A677" s="13"/>
      <c r="B677" s="16">
        <f>IF($A677=InvestorTable[[#This Row],[Investor Tally '#]],InvestorTable[[#This Row],[Investor Name]], NA())</f>
        <v>0</v>
      </c>
      <c r="C677" s="14"/>
      <c r="D677" s="17" t="e" cm="1">
        <f t="array" ref="D677">_xlfn.IFS(AND(InvestorTable[[#This Row],[Investor Tally '#]] = 'Payment Tracker'!$A677, 'Payment Tracker'!$C677="Dividend") = TRUE, InvestorTable[[#This Row],[Monthly ROI (₦)]], AND(InvestorTable[[#This Row],[Investor Tally '#]] = 'Payment Tracker'!$A677, 'Payment Tracker'!$C677="Capital") = TRUE, InvestorTable[[#This Row],[Investment Capital (₦)]], AND(InvestorTable[[#This Row],[Investor Tally '#]] = 'Payment Tracker'!$A677, 'Payment Tracker'!$C677="Refund") = TRUE, InvestorTable[[#This Row],[Investment Capital (₦)]] )</f>
        <v>#N/A</v>
      </c>
      <c r="E677" s="15"/>
      <c r="F677" s="14"/>
      <c r="G677" s="14"/>
      <c r="H677" s="14"/>
    </row>
    <row r="678" spans="1:8" x14ac:dyDescent="0.3">
      <c r="A678" s="13"/>
      <c r="B678" s="16">
        <f>IF($A678=InvestorTable[[#This Row],[Investor Tally '#]],InvestorTable[[#This Row],[Investor Name]], NA())</f>
        <v>0</v>
      </c>
      <c r="C678" s="14"/>
      <c r="D678" s="17" t="e" cm="1">
        <f t="array" ref="D678">_xlfn.IFS(AND(InvestorTable[[#This Row],[Investor Tally '#]] = 'Payment Tracker'!$A678, 'Payment Tracker'!$C678="Dividend") = TRUE, InvestorTable[[#This Row],[Monthly ROI (₦)]], AND(InvestorTable[[#This Row],[Investor Tally '#]] = 'Payment Tracker'!$A678, 'Payment Tracker'!$C678="Capital") = TRUE, InvestorTable[[#This Row],[Investment Capital (₦)]], AND(InvestorTable[[#This Row],[Investor Tally '#]] = 'Payment Tracker'!$A678, 'Payment Tracker'!$C678="Refund") = TRUE, InvestorTable[[#This Row],[Investment Capital (₦)]] )</f>
        <v>#N/A</v>
      </c>
      <c r="E678" s="15"/>
      <c r="F678" s="14"/>
      <c r="G678" s="14"/>
      <c r="H678" s="14"/>
    </row>
    <row r="679" spans="1:8" x14ac:dyDescent="0.3">
      <c r="A679" s="13"/>
      <c r="B679" s="16">
        <f>IF($A679=InvestorTable[[#This Row],[Investor Tally '#]],InvestorTable[[#This Row],[Investor Name]], NA())</f>
        <v>0</v>
      </c>
      <c r="C679" s="14"/>
      <c r="D679" s="17" t="e" cm="1">
        <f t="array" ref="D679">_xlfn.IFS(AND(InvestorTable[[#This Row],[Investor Tally '#]] = 'Payment Tracker'!$A679, 'Payment Tracker'!$C679="Dividend") = TRUE, InvestorTable[[#This Row],[Monthly ROI (₦)]], AND(InvestorTable[[#This Row],[Investor Tally '#]] = 'Payment Tracker'!$A679, 'Payment Tracker'!$C679="Capital") = TRUE, InvestorTable[[#This Row],[Investment Capital (₦)]], AND(InvestorTable[[#This Row],[Investor Tally '#]] = 'Payment Tracker'!$A679, 'Payment Tracker'!$C679="Refund") = TRUE, InvestorTable[[#This Row],[Investment Capital (₦)]] )</f>
        <v>#N/A</v>
      </c>
      <c r="E679" s="15"/>
      <c r="F679" s="14"/>
      <c r="G679" s="14"/>
      <c r="H679" s="14"/>
    </row>
    <row r="680" spans="1:8" x14ac:dyDescent="0.3">
      <c r="A680" s="13"/>
      <c r="B680" s="16">
        <f>IF($A680=InvestorTable[[#This Row],[Investor Tally '#]],InvestorTable[[#This Row],[Investor Name]], NA())</f>
        <v>0</v>
      </c>
      <c r="C680" s="14"/>
      <c r="D680" s="17" t="e" cm="1">
        <f t="array" ref="D680">_xlfn.IFS(AND(InvestorTable[[#This Row],[Investor Tally '#]] = 'Payment Tracker'!$A680, 'Payment Tracker'!$C680="Dividend") = TRUE, InvestorTable[[#This Row],[Monthly ROI (₦)]], AND(InvestorTable[[#This Row],[Investor Tally '#]] = 'Payment Tracker'!$A680, 'Payment Tracker'!$C680="Capital") = TRUE, InvestorTable[[#This Row],[Investment Capital (₦)]], AND(InvestorTable[[#This Row],[Investor Tally '#]] = 'Payment Tracker'!$A680, 'Payment Tracker'!$C680="Refund") = TRUE, InvestorTable[[#This Row],[Investment Capital (₦)]] )</f>
        <v>#N/A</v>
      </c>
      <c r="E680" s="15"/>
      <c r="F680" s="14"/>
      <c r="G680" s="14"/>
      <c r="H680" s="14"/>
    </row>
    <row r="681" spans="1:8" x14ac:dyDescent="0.3">
      <c r="A681" s="13"/>
      <c r="B681" s="16">
        <f>IF($A681=InvestorTable[[#This Row],[Investor Tally '#]],InvestorTable[[#This Row],[Investor Name]], NA())</f>
        <v>0</v>
      </c>
      <c r="C681" s="14"/>
      <c r="D681" s="17" t="e" cm="1">
        <f t="array" ref="D681">_xlfn.IFS(AND(InvestorTable[[#This Row],[Investor Tally '#]] = 'Payment Tracker'!$A681, 'Payment Tracker'!$C681="Dividend") = TRUE, InvestorTable[[#This Row],[Monthly ROI (₦)]], AND(InvestorTable[[#This Row],[Investor Tally '#]] = 'Payment Tracker'!$A681, 'Payment Tracker'!$C681="Capital") = TRUE, InvestorTable[[#This Row],[Investment Capital (₦)]], AND(InvestorTable[[#This Row],[Investor Tally '#]] = 'Payment Tracker'!$A681, 'Payment Tracker'!$C681="Refund") = TRUE, InvestorTable[[#This Row],[Investment Capital (₦)]] )</f>
        <v>#N/A</v>
      </c>
      <c r="E681" s="15"/>
      <c r="F681" s="14"/>
      <c r="G681" s="14"/>
      <c r="H681" s="14"/>
    </row>
    <row r="682" spans="1:8" x14ac:dyDescent="0.3">
      <c r="A682" s="13"/>
      <c r="B682" s="16">
        <f>IF($A682=InvestorTable[[#This Row],[Investor Tally '#]],InvestorTable[[#This Row],[Investor Name]], NA())</f>
        <v>0</v>
      </c>
      <c r="C682" s="14"/>
      <c r="D682" s="17" t="e" cm="1">
        <f t="array" ref="D682">_xlfn.IFS(AND(InvestorTable[[#This Row],[Investor Tally '#]] = 'Payment Tracker'!$A682, 'Payment Tracker'!$C682="Dividend") = TRUE, InvestorTable[[#This Row],[Monthly ROI (₦)]], AND(InvestorTable[[#This Row],[Investor Tally '#]] = 'Payment Tracker'!$A682, 'Payment Tracker'!$C682="Capital") = TRUE, InvestorTable[[#This Row],[Investment Capital (₦)]], AND(InvestorTable[[#This Row],[Investor Tally '#]] = 'Payment Tracker'!$A682, 'Payment Tracker'!$C682="Refund") = TRUE, InvestorTable[[#This Row],[Investment Capital (₦)]] )</f>
        <v>#N/A</v>
      </c>
      <c r="E682" s="15"/>
      <c r="F682" s="14"/>
      <c r="G682" s="14"/>
      <c r="H682" s="14"/>
    </row>
    <row r="683" spans="1:8" x14ac:dyDescent="0.3">
      <c r="A683" s="13"/>
      <c r="B683" s="16">
        <f>IF($A683=InvestorTable[[#This Row],[Investor Tally '#]],InvestorTable[[#This Row],[Investor Name]], NA())</f>
        <v>0</v>
      </c>
      <c r="C683" s="14"/>
      <c r="D683" s="17" t="e" cm="1">
        <f t="array" ref="D683">_xlfn.IFS(AND(InvestorTable[[#This Row],[Investor Tally '#]] = 'Payment Tracker'!$A683, 'Payment Tracker'!$C683="Dividend") = TRUE, InvestorTable[[#This Row],[Monthly ROI (₦)]], AND(InvestorTable[[#This Row],[Investor Tally '#]] = 'Payment Tracker'!$A683, 'Payment Tracker'!$C683="Capital") = TRUE, InvestorTable[[#This Row],[Investment Capital (₦)]], AND(InvestorTable[[#This Row],[Investor Tally '#]] = 'Payment Tracker'!$A683, 'Payment Tracker'!$C683="Refund") = TRUE, InvestorTable[[#This Row],[Investment Capital (₦)]] )</f>
        <v>#N/A</v>
      </c>
      <c r="E683" s="15"/>
      <c r="F683" s="14"/>
      <c r="G683" s="14"/>
      <c r="H683" s="14"/>
    </row>
    <row r="684" spans="1:8" x14ac:dyDescent="0.3">
      <c r="A684" s="13"/>
      <c r="B684" s="16">
        <f>IF($A684=InvestorTable[[#This Row],[Investor Tally '#]],InvestorTable[[#This Row],[Investor Name]], NA())</f>
        <v>0</v>
      </c>
      <c r="C684" s="14"/>
      <c r="D684" s="17" t="e" cm="1">
        <f t="array" ref="D684">_xlfn.IFS(AND(InvestorTable[[#This Row],[Investor Tally '#]] = 'Payment Tracker'!$A684, 'Payment Tracker'!$C684="Dividend") = TRUE, InvestorTable[[#This Row],[Monthly ROI (₦)]], AND(InvestorTable[[#This Row],[Investor Tally '#]] = 'Payment Tracker'!$A684, 'Payment Tracker'!$C684="Capital") = TRUE, InvestorTable[[#This Row],[Investment Capital (₦)]], AND(InvestorTable[[#This Row],[Investor Tally '#]] = 'Payment Tracker'!$A684, 'Payment Tracker'!$C684="Refund") = TRUE, InvestorTable[[#This Row],[Investment Capital (₦)]] )</f>
        <v>#N/A</v>
      </c>
      <c r="E684" s="15"/>
      <c r="F684" s="14"/>
      <c r="G684" s="14"/>
      <c r="H684" s="14"/>
    </row>
    <row r="685" spans="1:8" x14ac:dyDescent="0.3">
      <c r="A685" s="13"/>
      <c r="B685" s="16">
        <f>IF($A685=InvestorTable[[#This Row],[Investor Tally '#]],InvestorTable[[#This Row],[Investor Name]], NA())</f>
        <v>0</v>
      </c>
      <c r="C685" s="14"/>
      <c r="D685" s="17" t="e" cm="1">
        <f t="array" ref="D685">_xlfn.IFS(AND(InvestorTable[[#This Row],[Investor Tally '#]] = 'Payment Tracker'!$A685, 'Payment Tracker'!$C685="Dividend") = TRUE, InvestorTable[[#This Row],[Monthly ROI (₦)]], AND(InvestorTable[[#This Row],[Investor Tally '#]] = 'Payment Tracker'!$A685, 'Payment Tracker'!$C685="Capital") = TRUE, InvestorTable[[#This Row],[Investment Capital (₦)]], AND(InvestorTable[[#This Row],[Investor Tally '#]] = 'Payment Tracker'!$A685, 'Payment Tracker'!$C685="Refund") = TRUE, InvestorTable[[#This Row],[Investment Capital (₦)]] )</f>
        <v>#N/A</v>
      </c>
      <c r="E685" s="15"/>
      <c r="F685" s="14"/>
      <c r="G685" s="14"/>
      <c r="H685" s="14"/>
    </row>
    <row r="686" spans="1:8" x14ac:dyDescent="0.3">
      <c r="A686" s="13"/>
      <c r="B686" s="16">
        <f>IF($A686=InvestorTable[[#This Row],[Investor Tally '#]],InvestorTable[[#This Row],[Investor Name]], NA())</f>
        <v>0</v>
      </c>
      <c r="C686" s="14"/>
      <c r="D686" s="17" t="e" cm="1">
        <f t="array" ref="D686">_xlfn.IFS(AND(InvestorTable[[#This Row],[Investor Tally '#]] = 'Payment Tracker'!$A686, 'Payment Tracker'!$C686="Dividend") = TRUE, InvestorTable[[#This Row],[Monthly ROI (₦)]], AND(InvestorTable[[#This Row],[Investor Tally '#]] = 'Payment Tracker'!$A686, 'Payment Tracker'!$C686="Capital") = TRUE, InvestorTable[[#This Row],[Investment Capital (₦)]], AND(InvestorTable[[#This Row],[Investor Tally '#]] = 'Payment Tracker'!$A686, 'Payment Tracker'!$C686="Refund") = TRUE, InvestorTable[[#This Row],[Investment Capital (₦)]] )</f>
        <v>#N/A</v>
      </c>
      <c r="E686" s="15"/>
      <c r="F686" s="14"/>
      <c r="G686" s="14"/>
      <c r="H686" s="14"/>
    </row>
    <row r="687" spans="1:8" x14ac:dyDescent="0.3">
      <c r="A687" s="13"/>
      <c r="B687" s="16">
        <f>IF($A687=InvestorTable[[#This Row],[Investor Tally '#]],InvestorTable[[#This Row],[Investor Name]], NA())</f>
        <v>0</v>
      </c>
      <c r="C687" s="14"/>
      <c r="D687" s="17" t="e" cm="1">
        <f t="array" ref="D687">_xlfn.IFS(AND(InvestorTable[[#This Row],[Investor Tally '#]] = 'Payment Tracker'!$A687, 'Payment Tracker'!$C687="Dividend") = TRUE, InvestorTable[[#This Row],[Monthly ROI (₦)]], AND(InvestorTable[[#This Row],[Investor Tally '#]] = 'Payment Tracker'!$A687, 'Payment Tracker'!$C687="Capital") = TRUE, InvestorTable[[#This Row],[Investment Capital (₦)]], AND(InvestorTable[[#This Row],[Investor Tally '#]] = 'Payment Tracker'!$A687, 'Payment Tracker'!$C687="Refund") = TRUE, InvestorTable[[#This Row],[Investment Capital (₦)]] )</f>
        <v>#N/A</v>
      </c>
      <c r="E687" s="15"/>
      <c r="F687" s="14"/>
      <c r="G687" s="14"/>
      <c r="H687" s="14"/>
    </row>
    <row r="688" spans="1:8" x14ac:dyDescent="0.3">
      <c r="A688" s="13"/>
      <c r="B688" s="16">
        <f>IF($A688=InvestorTable[[#This Row],[Investor Tally '#]],InvestorTable[[#This Row],[Investor Name]], NA())</f>
        <v>0</v>
      </c>
      <c r="C688" s="14"/>
      <c r="D688" s="17" t="e" cm="1">
        <f t="array" ref="D688">_xlfn.IFS(AND(InvestorTable[[#This Row],[Investor Tally '#]] = 'Payment Tracker'!$A688, 'Payment Tracker'!$C688="Dividend") = TRUE, InvestorTable[[#This Row],[Monthly ROI (₦)]], AND(InvestorTable[[#This Row],[Investor Tally '#]] = 'Payment Tracker'!$A688, 'Payment Tracker'!$C688="Capital") = TRUE, InvestorTable[[#This Row],[Investment Capital (₦)]], AND(InvestorTable[[#This Row],[Investor Tally '#]] = 'Payment Tracker'!$A688, 'Payment Tracker'!$C688="Refund") = TRUE, InvestorTable[[#This Row],[Investment Capital (₦)]] )</f>
        <v>#N/A</v>
      </c>
      <c r="E688" s="15"/>
      <c r="F688" s="14"/>
      <c r="G688" s="14"/>
      <c r="H688" s="14"/>
    </row>
    <row r="689" spans="1:8" x14ac:dyDescent="0.3">
      <c r="A689" s="13"/>
      <c r="B689" s="16">
        <f>IF($A689=InvestorTable[[#This Row],[Investor Tally '#]],InvestorTable[[#This Row],[Investor Name]], NA())</f>
        <v>0</v>
      </c>
      <c r="C689" s="14"/>
      <c r="D689" s="17" t="e" cm="1">
        <f t="array" ref="D689">_xlfn.IFS(AND(InvestorTable[[#This Row],[Investor Tally '#]] = 'Payment Tracker'!$A689, 'Payment Tracker'!$C689="Dividend") = TRUE, InvestorTable[[#This Row],[Monthly ROI (₦)]], AND(InvestorTable[[#This Row],[Investor Tally '#]] = 'Payment Tracker'!$A689, 'Payment Tracker'!$C689="Capital") = TRUE, InvestorTable[[#This Row],[Investment Capital (₦)]], AND(InvestorTable[[#This Row],[Investor Tally '#]] = 'Payment Tracker'!$A689, 'Payment Tracker'!$C689="Refund") = TRUE, InvestorTable[[#This Row],[Investment Capital (₦)]] )</f>
        <v>#N/A</v>
      </c>
      <c r="E689" s="15"/>
      <c r="F689" s="14"/>
      <c r="G689" s="14"/>
      <c r="H689" s="14"/>
    </row>
    <row r="690" spans="1:8" x14ac:dyDescent="0.3">
      <c r="A690" s="13"/>
      <c r="B690" s="16">
        <f>IF($A690=InvestorTable[[#This Row],[Investor Tally '#]],InvestorTable[[#This Row],[Investor Name]], NA())</f>
        <v>0</v>
      </c>
      <c r="C690" s="14"/>
      <c r="D690" s="17" t="e" cm="1">
        <f t="array" ref="D690">_xlfn.IFS(AND(InvestorTable[[#This Row],[Investor Tally '#]] = 'Payment Tracker'!$A690, 'Payment Tracker'!$C690="Dividend") = TRUE, InvestorTable[[#This Row],[Monthly ROI (₦)]], AND(InvestorTable[[#This Row],[Investor Tally '#]] = 'Payment Tracker'!$A690, 'Payment Tracker'!$C690="Capital") = TRUE, InvestorTable[[#This Row],[Investment Capital (₦)]], AND(InvestorTable[[#This Row],[Investor Tally '#]] = 'Payment Tracker'!$A690, 'Payment Tracker'!$C690="Refund") = TRUE, InvestorTable[[#This Row],[Investment Capital (₦)]] )</f>
        <v>#N/A</v>
      </c>
      <c r="E690" s="15"/>
      <c r="F690" s="14"/>
      <c r="G690" s="14"/>
      <c r="H690" s="14"/>
    </row>
    <row r="691" spans="1:8" x14ac:dyDescent="0.3">
      <c r="A691" s="13"/>
      <c r="B691" s="16">
        <f>IF($A691=InvestorTable[[#This Row],[Investor Tally '#]],InvestorTable[[#This Row],[Investor Name]], NA())</f>
        <v>0</v>
      </c>
      <c r="C691" s="14"/>
      <c r="D691" s="17" t="e" cm="1">
        <f t="array" ref="D691">_xlfn.IFS(AND(InvestorTable[[#This Row],[Investor Tally '#]] = 'Payment Tracker'!$A691, 'Payment Tracker'!$C691="Dividend") = TRUE, InvestorTable[[#This Row],[Monthly ROI (₦)]], AND(InvestorTable[[#This Row],[Investor Tally '#]] = 'Payment Tracker'!$A691, 'Payment Tracker'!$C691="Capital") = TRUE, InvestorTable[[#This Row],[Investment Capital (₦)]], AND(InvestorTable[[#This Row],[Investor Tally '#]] = 'Payment Tracker'!$A691, 'Payment Tracker'!$C691="Refund") = TRUE, InvestorTable[[#This Row],[Investment Capital (₦)]] )</f>
        <v>#N/A</v>
      </c>
      <c r="E691" s="15"/>
      <c r="F691" s="14"/>
      <c r="G691" s="14"/>
      <c r="H691" s="14"/>
    </row>
    <row r="692" spans="1:8" x14ac:dyDescent="0.3">
      <c r="A692" s="13"/>
      <c r="B692" s="16">
        <f>IF($A692=InvestorTable[[#This Row],[Investor Tally '#]],InvestorTable[[#This Row],[Investor Name]], NA())</f>
        <v>0</v>
      </c>
      <c r="C692" s="14"/>
      <c r="D692" s="17" t="e" cm="1">
        <f t="array" ref="D692">_xlfn.IFS(AND(InvestorTable[[#This Row],[Investor Tally '#]] = 'Payment Tracker'!$A692, 'Payment Tracker'!$C692="Dividend") = TRUE, InvestorTable[[#This Row],[Monthly ROI (₦)]], AND(InvestorTable[[#This Row],[Investor Tally '#]] = 'Payment Tracker'!$A692, 'Payment Tracker'!$C692="Capital") = TRUE, InvestorTable[[#This Row],[Investment Capital (₦)]], AND(InvestorTable[[#This Row],[Investor Tally '#]] = 'Payment Tracker'!$A692, 'Payment Tracker'!$C692="Refund") = TRUE, InvestorTable[[#This Row],[Investment Capital (₦)]] )</f>
        <v>#N/A</v>
      </c>
      <c r="E692" s="15"/>
      <c r="F692" s="14"/>
      <c r="G692" s="14"/>
      <c r="H692" s="14"/>
    </row>
    <row r="693" spans="1:8" x14ac:dyDescent="0.3">
      <c r="A693" s="13"/>
      <c r="B693" s="16">
        <f>IF($A693=InvestorTable[[#This Row],[Investor Tally '#]],InvestorTable[[#This Row],[Investor Name]], NA())</f>
        <v>0</v>
      </c>
      <c r="C693" s="14"/>
      <c r="D693" s="17" t="e" cm="1">
        <f t="array" ref="D693">_xlfn.IFS(AND(InvestorTable[[#This Row],[Investor Tally '#]] = 'Payment Tracker'!$A693, 'Payment Tracker'!$C693="Dividend") = TRUE, InvestorTable[[#This Row],[Monthly ROI (₦)]], AND(InvestorTable[[#This Row],[Investor Tally '#]] = 'Payment Tracker'!$A693, 'Payment Tracker'!$C693="Capital") = TRUE, InvestorTable[[#This Row],[Investment Capital (₦)]], AND(InvestorTable[[#This Row],[Investor Tally '#]] = 'Payment Tracker'!$A693, 'Payment Tracker'!$C693="Refund") = TRUE, InvestorTable[[#This Row],[Investment Capital (₦)]] )</f>
        <v>#N/A</v>
      </c>
      <c r="E693" s="15"/>
      <c r="F693" s="14"/>
      <c r="G693" s="14"/>
      <c r="H693" s="14"/>
    </row>
    <row r="694" spans="1:8" x14ac:dyDescent="0.3">
      <c r="A694" s="13"/>
      <c r="B694" s="16">
        <f>IF($A694=InvestorTable[[#This Row],[Investor Tally '#]],InvestorTable[[#This Row],[Investor Name]], NA())</f>
        <v>0</v>
      </c>
      <c r="C694" s="14"/>
      <c r="D694" s="17" t="e" cm="1">
        <f t="array" ref="D694">_xlfn.IFS(AND(InvestorTable[[#This Row],[Investor Tally '#]] = 'Payment Tracker'!$A694, 'Payment Tracker'!$C694="Dividend") = TRUE, InvestorTable[[#This Row],[Monthly ROI (₦)]], AND(InvestorTable[[#This Row],[Investor Tally '#]] = 'Payment Tracker'!$A694, 'Payment Tracker'!$C694="Capital") = TRUE, InvestorTable[[#This Row],[Investment Capital (₦)]], AND(InvestorTable[[#This Row],[Investor Tally '#]] = 'Payment Tracker'!$A694, 'Payment Tracker'!$C694="Refund") = TRUE, InvestorTable[[#This Row],[Investment Capital (₦)]] )</f>
        <v>#N/A</v>
      </c>
      <c r="E694" s="15"/>
      <c r="F694" s="14"/>
      <c r="G694" s="14"/>
      <c r="H694" s="14"/>
    </row>
    <row r="695" spans="1:8" x14ac:dyDescent="0.3">
      <c r="A695" s="13"/>
      <c r="B695" s="16">
        <f>IF($A695=InvestorTable[[#This Row],[Investor Tally '#]],InvestorTable[[#This Row],[Investor Name]], NA())</f>
        <v>0</v>
      </c>
      <c r="C695" s="14"/>
      <c r="D695" s="17" t="e" cm="1">
        <f t="array" ref="D695">_xlfn.IFS(AND(InvestorTable[[#This Row],[Investor Tally '#]] = 'Payment Tracker'!$A695, 'Payment Tracker'!$C695="Dividend") = TRUE, InvestorTable[[#This Row],[Monthly ROI (₦)]], AND(InvestorTable[[#This Row],[Investor Tally '#]] = 'Payment Tracker'!$A695, 'Payment Tracker'!$C695="Capital") = TRUE, InvestorTable[[#This Row],[Investment Capital (₦)]], AND(InvestorTable[[#This Row],[Investor Tally '#]] = 'Payment Tracker'!$A695, 'Payment Tracker'!$C695="Refund") = TRUE, InvestorTable[[#This Row],[Investment Capital (₦)]] )</f>
        <v>#N/A</v>
      </c>
      <c r="E695" s="15"/>
      <c r="F695" s="14"/>
      <c r="G695" s="14"/>
      <c r="H695" s="14"/>
    </row>
    <row r="696" spans="1:8" x14ac:dyDescent="0.3">
      <c r="A696" s="13"/>
      <c r="B696" s="16">
        <f>IF($A696=InvestorTable[[#This Row],[Investor Tally '#]],InvestorTable[[#This Row],[Investor Name]], NA())</f>
        <v>0</v>
      </c>
      <c r="C696" s="14"/>
      <c r="D696" s="17" t="e" cm="1">
        <f t="array" ref="D696">_xlfn.IFS(AND(InvestorTable[[#This Row],[Investor Tally '#]] = 'Payment Tracker'!$A696, 'Payment Tracker'!$C696="Dividend") = TRUE, InvestorTable[[#This Row],[Monthly ROI (₦)]], AND(InvestorTable[[#This Row],[Investor Tally '#]] = 'Payment Tracker'!$A696, 'Payment Tracker'!$C696="Capital") = TRUE, InvestorTable[[#This Row],[Investment Capital (₦)]], AND(InvestorTable[[#This Row],[Investor Tally '#]] = 'Payment Tracker'!$A696, 'Payment Tracker'!$C696="Refund") = TRUE, InvestorTable[[#This Row],[Investment Capital (₦)]] )</f>
        <v>#N/A</v>
      </c>
      <c r="E696" s="15"/>
      <c r="F696" s="14"/>
      <c r="G696" s="14"/>
      <c r="H696" s="14"/>
    </row>
    <row r="697" spans="1:8" x14ac:dyDescent="0.3">
      <c r="A697" s="13"/>
      <c r="B697" s="16">
        <f>IF($A697=InvestorTable[[#This Row],[Investor Tally '#]],InvestorTable[[#This Row],[Investor Name]], NA())</f>
        <v>0</v>
      </c>
      <c r="C697" s="14"/>
      <c r="D697" s="17" t="e" cm="1">
        <f t="array" ref="D697">_xlfn.IFS(AND(InvestorTable[[#This Row],[Investor Tally '#]] = 'Payment Tracker'!$A697, 'Payment Tracker'!$C697="Dividend") = TRUE, InvestorTable[[#This Row],[Monthly ROI (₦)]], AND(InvestorTable[[#This Row],[Investor Tally '#]] = 'Payment Tracker'!$A697, 'Payment Tracker'!$C697="Capital") = TRUE, InvestorTable[[#This Row],[Investment Capital (₦)]], AND(InvestorTable[[#This Row],[Investor Tally '#]] = 'Payment Tracker'!$A697, 'Payment Tracker'!$C697="Refund") = TRUE, InvestorTable[[#This Row],[Investment Capital (₦)]] )</f>
        <v>#N/A</v>
      </c>
      <c r="E697" s="15"/>
      <c r="F697" s="14"/>
      <c r="G697" s="14"/>
      <c r="H697" s="14"/>
    </row>
    <row r="698" spans="1:8" x14ac:dyDescent="0.3">
      <c r="A698" s="13"/>
      <c r="B698" s="16">
        <f>IF($A698=InvestorTable[[#This Row],[Investor Tally '#]],InvestorTable[[#This Row],[Investor Name]], NA())</f>
        <v>0</v>
      </c>
      <c r="C698" s="14"/>
      <c r="D698" s="17" t="e" cm="1">
        <f t="array" ref="D698">_xlfn.IFS(AND(InvestorTable[[#This Row],[Investor Tally '#]] = 'Payment Tracker'!$A698, 'Payment Tracker'!$C698="Dividend") = TRUE, InvestorTable[[#This Row],[Monthly ROI (₦)]], AND(InvestorTable[[#This Row],[Investor Tally '#]] = 'Payment Tracker'!$A698, 'Payment Tracker'!$C698="Capital") = TRUE, InvestorTable[[#This Row],[Investment Capital (₦)]], AND(InvestorTable[[#This Row],[Investor Tally '#]] = 'Payment Tracker'!$A698, 'Payment Tracker'!$C698="Refund") = TRUE, InvestorTable[[#This Row],[Investment Capital (₦)]] )</f>
        <v>#N/A</v>
      </c>
      <c r="E698" s="15"/>
      <c r="F698" s="14"/>
      <c r="G698" s="14"/>
      <c r="H698" s="14"/>
    </row>
    <row r="699" spans="1:8" x14ac:dyDescent="0.3">
      <c r="A699" s="13"/>
      <c r="B699" s="16">
        <f>IF($A699=InvestorTable[[#This Row],[Investor Tally '#]],InvestorTable[[#This Row],[Investor Name]], NA())</f>
        <v>0</v>
      </c>
      <c r="C699" s="14"/>
      <c r="D699" s="17" t="e" cm="1">
        <f t="array" ref="D699">_xlfn.IFS(AND(InvestorTable[[#This Row],[Investor Tally '#]] = 'Payment Tracker'!$A699, 'Payment Tracker'!$C699="Dividend") = TRUE, InvestorTable[[#This Row],[Monthly ROI (₦)]], AND(InvestorTable[[#This Row],[Investor Tally '#]] = 'Payment Tracker'!$A699, 'Payment Tracker'!$C699="Capital") = TRUE, InvestorTable[[#This Row],[Investment Capital (₦)]], AND(InvestorTable[[#This Row],[Investor Tally '#]] = 'Payment Tracker'!$A699, 'Payment Tracker'!$C699="Refund") = TRUE, InvestorTable[[#This Row],[Investment Capital (₦)]] )</f>
        <v>#N/A</v>
      </c>
      <c r="E699" s="15"/>
      <c r="F699" s="14"/>
      <c r="G699" s="14"/>
      <c r="H699" s="14"/>
    </row>
    <row r="700" spans="1:8" x14ac:dyDescent="0.3">
      <c r="A700" s="13"/>
      <c r="B700" s="16">
        <f>IF($A700=InvestorTable[[#This Row],[Investor Tally '#]],InvestorTable[[#This Row],[Investor Name]], NA())</f>
        <v>0</v>
      </c>
      <c r="C700" s="14"/>
      <c r="D700" s="17" t="e" cm="1">
        <f t="array" ref="D700">_xlfn.IFS(AND(InvestorTable[[#This Row],[Investor Tally '#]] = 'Payment Tracker'!$A700, 'Payment Tracker'!$C700="Dividend") = TRUE, InvestorTable[[#This Row],[Monthly ROI (₦)]], AND(InvestorTable[[#This Row],[Investor Tally '#]] = 'Payment Tracker'!$A700, 'Payment Tracker'!$C700="Capital") = TRUE, InvestorTable[[#This Row],[Investment Capital (₦)]], AND(InvestorTable[[#This Row],[Investor Tally '#]] = 'Payment Tracker'!$A700, 'Payment Tracker'!$C700="Refund") = TRUE, InvestorTable[[#This Row],[Investment Capital (₦)]] )</f>
        <v>#N/A</v>
      </c>
      <c r="E700" s="15"/>
      <c r="F700" s="14"/>
      <c r="G700" s="14"/>
      <c r="H700" s="14"/>
    </row>
    <row r="701" spans="1:8" x14ac:dyDescent="0.3">
      <c r="A701" s="13"/>
      <c r="B701" s="16">
        <f>IF($A701=InvestorTable[[#This Row],[Investor Tally '#]],InvestorTable[[#This Row],[Investor Name]], NA())</f>
        <v>0</v>
      </c>
      <c r="C701" s="14"/>
      <c r="D701" s="17" t="e" cm="1">
        <f t="array" ref="D701">_xlfn.IFS(AND(InvestorTable[[#This Row],[Investor Tally '#]] = 'Payment Tracker'!$A701, 'Payment Tracker'!$C701="Dividend") = TRUE, InvestorTable[[#This Row],[Monthly ROI (₦)]], AND(InvestorTable[[#This Row],[Investor Tally '#]] = 'Payment Tracker'!$A701, 'Payment Tracker'!$C701="Capital") = TRUE, InvestorTable[[#This Row],[Investment Capital (₦)]], AND(InvestorTable[[#This Row],[Investor Tally '#]] = 'Payment Tracker'!$A701, 'Payment Tracker'!$C701="Refund") = TRUE, InvestorTable[[#This Row],[Investment Capital (₦)]] )</f>
        <v>#N/A</v>
      </c>
      <c r="E701" s="15"/>
      <c r="F701" s="14"/>
      <c r="G701" s="14"/>
      <c r="H701" s="14"/>
    </row>
    <row r="702" spans="1:8" x14ac:dyDescent="0.3">
      <c r="A702" s="13"/>
      <c r="B702" s="16">
        <f>IF($A702=InvestorTable[[#This Row],[Investor Tally '#]],InvestorTable[[#This Row],[Investor Name]], NA())</f>
        <v>0</v>
      </c>
      <c r="C702" s="14"/>
      <c r="D702" s="17" t="e" cm="1">
        <f t="array" ref="D702">_xlfn.IFS(AND(InvestorTable[[#This Row],[Investor Tally '#]] = 'Payment Tracker'!$A702, 'Payment Tracker'!$C702="Dividend") = TRUE, InvestorTable[[#This Row],[Monthly ROI (₦)]], AND(InvestorTable[[#This Row],[Investor Tally '#]] = 'Payment Tracker'!$A702, 'Payment Tracker'!$C702="Capital") = TRUE, InvestorTable[[#This Row],[Investment Capital (₦)]], AND(InvestorTable[[#This Row],[Investor Tally '#]] = 'Payment Tracker'!$A702, 'Payment Tracker'!$C702="Refund") = TRUE, InvestorTable[[#This Row],[Investment Capital (₦)]] )</f>
        <v>#N/A</v>
      </c>
      <c r="E702" s="15"/>
      <c r="F702" s="14"/>
      <c r="G702" s="14"/>
      <c r="H702" s="14"/>
    </row>
    <row r="703" spans="1:8" x14ac:dyDescent="0.3">
      <c r="A703" s="13"/>
      <c r="B703" s="16">
        <f>IF($A703=InvestorTable[[#This Row],[Investor Tally '#]],InvestorTable[[#This Row],[Investor Name]], NA())</f>
        <v>0</v>
      </c>
      <c r="C703" s="14"/>
      <c r="D703" s="17" t="e" cm="1">
        <f t="array" ref="D703">_xlfn.IFS(AND(InvestorTable[[#This Row],[Investor Tally '#]] = 'Payment Tracker'!$A703, 'Payment Tracker'!$C703="Dividend") = TRUE, InvestorTable[[#This Row],[Monthly ROI (₦)]], AND(InvestorTable[[#This Row],[Investor Tally '#]] = 'Payment Tracker'!$A703, 'Payment Tracker'!$C703="Capital") = TRUE, InvestorTable[[#This Row],[Investment Capital (₦)]], AND(InvestorTable[[#This Row],[Investor Tally '#]] = 'Payment Tracker'!$A703, 'Payment Tracker'!$C703="Refund") = TRUE, InvestorTable[[#This Row],[Investment Capital (₦)]] )</f>
        <v>#N/A</v>
      </c>
      <c r="E703" s="15"/>
      <c r="F703" s="14"/>
      <c r="G703" s="14"/>
      <c r="H703" s="14"/>
    </row>
    <row r="704" spans="1:8" x14ac:dyDescent="0.3">
      <c r="A704" s="13"/>
      <c r="B704" s="16">
        <f>IF($A704=InvestorTable[[#This Row],[Investor Tally '#]],InvestorTable[[#This Row],[Investor Name]], NA())</f>
        <v>0</v>
      </c>
      <c r="C704" s="14"/>
      <c r="D704" s="17" t="e" cm="1">
        <f t="array" ref="D704">_xlfn.IFS(AND(InvestorTable[[#This Row],[Investor Tally '#]] = 'Payment Tracker'!$A704, 'Payment Tracker'!$C704="Dividend") = TRUE, InvestorTable[[#This Row],[Monthly ROI (₦)]], AND(InvestorTable[[#This Row],[Investor Tally '#]] = 'Payment Tracker'!$A704, 'Payment Tracker'!$C704="Capital") = TRUE, InvestorTable[[#This Row],[Investment Capital (₦)]], AND(InvestorTable[[#This Row],[Investor Tally '#]] = 'Payment Tracker'!$A704, 'Payment Tracker'!$C704="Refund") = TRUE, InvestorTable[[#This Row],[Investment Capital (₦)]] )</f>
        <v>#N/A</v>
      </c>
      <c r="E704" s="15"/>
      <c r="F704" s="14"/>
      <c r="G704" s="14"/>
      <c r="H704" s="14"/>
    </row>
    <row r="705" spans="1:8" x14ac:dyDescent="0.3">
      <c r="A705" s="13"/>
      <c r="B705" s="16">
        <f>IF($A705=InvestorTable[[#This Row],[Investor Tally '#]],InvestorTable[[#This Row],[Investor Name]], NA())</f>
        <v>0</v>
      </c>
      <c r="C705" s="14"/>
      <c r="D705" s="17" t="e" cm="1">
        <f t="array" ref="D705">_xlfn.IFS(AND(InvestorTable[[#This Row],[Investor Tally '#]] = 'Payment Tracker'!$A705, 'Payment Tracker'!$C705="Dividend") = TRUE, InvestorTable[[#This Row],[Monthly ROI (₦)]], AND(InvestorTable[[#This Row],[Investor Tally '#]] = 'Payment Tracker'!$A705, 'Payment Tracker'!$C705="Capital") = TRUE, InvestorTable[[#This Row],[Investment Capital (₦)]], AND(InvestorTable[[#This Row],[Investor Tally '#]] = 'Payment Tracker'!$A705, 'Payment Tracker'!$C705="Refund") = TRUE, InvestorTable[[#This Row],[Investment Capital (₦)]] )</f>
        <v>#N/A</v>
      </c>
      <c r="E705" s="15"/>
      <c r="F705" s="14"/>
      <c r="G705" s="14"/>
      <c r="H705" s="14"/>
    </row>
    <row r="706" spans="1:8" x14ac:dyDescent="0.3">
      <c r="A706" s="13"/>
      <c r="B706" s="16">
        <f>IF($A706=InvestorTable[[#This Row],[Investor Tally '#]],InvestorTable[[#This Row],[Investor Name]], NA())</f>
        <v>0</v>
      </c>
      <c r="C706" s="14"/>
      <c r="D706" s="17" t="e" cm="1">
        <f t="array" ref="D706">_xlfn.IFS(AND(InvestorTable[[#This Row],[Investor Tally '#]] = 'Payment Tracker'!$A706, 'Payment Tracker'!$C706="Dividend") = TRUE, InvestorTable[[#This Row],[Monthly ROI (₦)]], AND(InvestorTable[[#This Row],[Investor Tally '#]] = 'Payment Tracker'!$A706, 'Payment Tracker'!$C706="Capital") = TRUE, InvestorTable[[#This Row],[Investment Capital (₦)]], AND(InvestorTable[[#This Row],[Investor Tally '#]] = 'Payment Tracker'!$A706, 'Payment Tracker'!$C706="Refund") = TRUE, InvestorTable[[#This Row],[Investment Capital (₦)]] )</f>
        <v>#N/A</v>
      </c>
      <c r="E706" s="15"/>
      <c r="F706" s="14"/>
      <c r="G706" s="14"/>
      <c r="H706" s="14"/>
    </row>
    <row r="707" spans="1:8" x14ac:dyDescent="0.3">
      <c r="A707" s="13"/>
      <c r="B707" s="16">
        <f>IF($A707=InvestorTable[[#This Row],[Investor Tally '#]],InvestorTable[[#This Row],[Investor Name]], NA())</f>
        <v>0</v>
      </c>
      <c r="C707" s="14"/>
      <c r="D707" s="17" t="e" cm="1">
        <f t="array" ref="D707">_xlfn.IFS(AND(InvestorTable[[#This Row],[Investor Tally '#]] = 'Payment Tracker'!$A707, 'Payment Tracker'!$C707="Dividend") = TRUE, InvestorTable[[#This Row],[Monthly ROI (₦)]], AND(InvestorTable[[#This Row],[Investor Tally '#]] = 'Payment Tracker'!$A707, 'Payment Tracker'!$C707="Capital") = TRUE, InvestorTable[[#This Row],[Investment Capital (₦)]], AND(InvestorTable[[#This Row],[Investor Tally '#]] = 'Payment Tracker'!$A707, 'Payment Tracker'!$C707="Refund") = TRUE, InvestorTable[[#This Row],[Investment Capital (₦)]] )</f>
        <v>#N/A</v>
      </c>
      <c r="E707" s="15"/>
      <c r="F707" s="14"/>
      <c r="G707" s="14"/>
      <c r="H707" s="14"/>
    </row>
    <row r="708" spans="1:8" x14ac:dyDescent="0.3">
      <c r="A708" s="13"/>
      <c r="B708" s="16">
        <f>IF($A708=InvestorTable[[#This Row],[Investor Tally '#]],InvestorTable[[#This Row],[Investor Name]], NA())</f>
        <v>0</v>
      </c>
      <c r="C708" s="14"/>
      <c r="D708" s="17" t="e" cm="1">
        <f t="array" ref="D708">_xlfn.IFS(AND(InvestorTable[[#This Row],[Investor Tally '#]] = 'Payment Tracker'!$A708, 'Payment Tracker'!$C708="Dividend") = TRUE, InvestorTable[[#This Row],[Monthly ROI (₦)]], AND(InvestorTable[[#This Row],[Investor Tally '#]] = 'Payment Tracker'!$A708, 'Payment Tracker'!$C708="Capital") = TRUE, InvestorTable[[#This Row],[Investment Capital (₦)]], AND(InvestorTable[[#This Row],[Investor Tally '#]] = 'Payment Tracker'!$A708, 'Payment Tracker'!$C708="Refund") = TRUE, InvestorTable[[#This Row],[Investment Capital (₦)]] )</f>
        <v>#N/A</v>
      </c>
      <c r="E708" s="15"/>
      <c r="F708" s="14"/>
      <c r="G708" s="14"/>
      <c r="H708" s="14"/>
    </row>
    <row r="709" spans="1:8" x14ac:dyDescent="0.3">
      <c r="A709" s="13"/>
      <c r="B709" s="16">
        <f>IF($A709=InvestorTable[[#This Row],[Investor Tally '#]],InvestorTable[[#This Row],[Investor Name]], NA())</f>
        <v>0</v>
      </c>
      <c r="C709" s="14"/>
      <c r="D709" s="17" t="e" cm="1">
        <f t="array" ref="D709">_xlfn.IFS(AND(InvestorTable[[#This Row],[Investor Tally '#]] = 'Payment Tracker'!$A709, 'Payment Tracker'!$C709="Dividend") = TRUE, InvestorTable[[#This Row],[Monthly ROI (₦)]], AND(InvestorTable[[#This Row],[Investor Tally '#]] = 'Payment Tracker'!$A709, 'Payment Tracker'!$C709="Capital") = TRUE, InvestorTable[[#This Row],[Investment Capital (₦)]], AND(InvestorTable[[#This Row],[Investor Tally '#]] = 'Payment Tracker'!$A709, 'Payment Tracker'!$C709="Refund") = TRUE, InvestorTable[[#This Row],[Investment Capital (₦)]] )</f>
        <v>#N/A</v>
      </c>
      <c r="E709" s="15"/>
      <c r="F709" s="14"/>
      <c r="G709" s="14"/>
      <c r="H709" s="14"/>
    </row>
    <row r="710" spans="1:8" x14ac:dyDescent="0.3">
      <c r="A710" s="13"/>
      <c r="B710" s="16">
        <f>IF($A710=InvestorTable[[#This Row],[Investor Tally '#]],InvestorTable[[#This Row],[Investor Name]], NA())</f>
        <v>0</v>
      </c>
      <c r="C710" s="14"/>
      <c r="D710" s="17" t="e" cm="1">
        <f t="array" ref="D710">_xlfn.IFS(AND(InvestorTable[[#This Row],[Investor Tally '#]] = 'Payment Tracker'!$A710, 'Payment Tracker'!$C710="Dividend") = TRUE, InvestorTable[[#This Row],[Monthly ROI (₦)]], AND(InvestorTable[[#This Row],[Investor Tally '#]] = 'Payment Tracker'!$A710, 'Payment Tracker'!$C710="Capital") = TRUE, InvestorTable[[#This Row],[Investment Capital (₦)]], AND(InvestorTable[[#This Row],[Investor Tally '#]] = 'Payment Tracker'!$A710, 'Payment Tracker'!$C710="Refund") = TRUE, InvestorTable[[#This Row],[Investment Capital (₦)]] )</f>
        <v>#N/A</v>
      </c>
      <c r="E710" s="15"/>
      <c r="F710" s="14"/>
      <c r="G710" s="14"/>
      <c r="H710" s="14"/>
    </row>
    <row r="711" spans="1:8" x14ac:dyDescent="0.3">
      <c r="A711" s="13"/>
      <c r="B711" s="16">
        <f>IF($A711=InvestorTable[[#This Row],[Investor Tally '#]],InvestorTable[[#This Row],[Investor Name]], NA())</f>
        <v>0</v>
      </c>
      <c r="C711" s="14"/>
      <c r="D711" s="17" t="e" cm="1">
        <f t="array" ref="D711">_xlfn.IFS(AND(InvestorTable[[#This Row],[Investor Tally '#]] = 'Payment Tracker'!$A711, 'Payment Tracker'!$C711="Dividend") = TRUE, InvestorTable[[#This Row],[Monthly ROI (₦)]], AND(InvestorTable[[#This Row],[Investor Tally '#]] = 'Payment Tracker'!$A711, 'Payment Tracker'!$C711="Capital") = TRUE, InvestorTable[[#This Row],[Investment Capital (₦)]], AND(InvestorTable[[#This Row],[Investor Tally '#]] = 'Payment Tracker'!$A711, 'Payment Tracker'!$C711="Refund") = TRUE, InvestorTable[[#This Row],[Investment Capital (₦)]] )</f>
        <v>#N/A</v>
      </c>
      <c r="E711" s="15"/>
      <c r="F711" s="14"/>
      <c r="G711" s="14"/>
      <c r="H711" s="14"/>
    </row>
    <row r="712" spans="1:8" x14ac:dyDescent="0.3">
      <c r="A712" s="13"/>
      <c r="B712" s="16">
        <f>IF($A712=InvestorTable[[#This Row],[Investor Tally '#]],InvestorTable[[#This Row],[Investor Name]], NA())</f>
        <v>0</v>
      </c>
      <c r="C712" s="14"/>
      <c r="D712" s="17" t="e" cm="1">
        <f t="array" ref="D712">_xlfn.IFS(AND(InvestorTable[[#This Row],[Investor Tally '#]] = 'Payment Tracker'!$A712, 'Payment Tracker'!$C712="Dividend") = TRUE, InvestorTable[[#This Row],[Monthly ROI (₦)]], AND(InvestorTable[[#This Row],[Investor Tally '#]] = 'Payment Tracker'!$A712, 'Payment Tracker'!$C712="Capital") = TRUE, InvestorTable[[#This Row],[Investment Capital (₦)]], AND(InvestorTable[[#This Row],[Investor Tally '#]] = 'Payment Tracker'!$A712, 'Payment Tracker'!$C712="Refund") = TRUE, InvestorTable[[#This Row],[Investment Capital (₦)]] )</f>
        <v>#N/A</v>
      </c>
      <c r="E712" s="15"/>
      <c r="F712" s="14"/>
      <c r="G712" s="14"/>
      <c r="H712" s="14"/>
    </row>
    <row r="713" spans="1:8" x14ac:dyDescent="0.3">
      <c r="A713" s="13"/>
      <c r="B713" s="16">
        <f>IF($A713=InvestorTable[[#This Row],[Investor Tally '#]],InvestorTable[[#This Row],[Investor Name]], NA())</f>
        <v>0</v>
      </c>
      <c r="C713" s="14"/>
      <c r="D713" s="17" t="e" cm="1">
        <f t="array" ref="D713">_xlfn.IFS(AND(InvestorTable[[#This Row],[Investor Tally '#]] = 'Payment Tracker'!$A713, 'Payment Tracker'!$C713="Dividend") = TRUE, InvestorTable[[#This Row],[Monthly ROI (₦)]], AND(InvestorTable[[#This Row],[Investor Tally '#]] = 'Payment Tracker'!$A713, 'Payment Tracker'!$C713="Capital") = TRUE, InvestorTable[[#This Row],[Investment Capital (₦)]], AND(InvestorTable[[#This Row],[Investor Tally '#]] = 'Payment Tracker'!$A713, 'Payment Tracker'!$C713="Refund") = TRUE, InvestorTable[[#This Row],[Investment Capital (₦)]] )</f>
        <v>#N/A</v>
      </c>
      <c r="E713" s="15"/>
      <c r="F713" s="14"/>
      <c r="G713" s="14"/>
      <c r="H713" s="14"/>
    </row>
    <row r="714" spans="1:8" x14ac:dyDescent="0.3">
      <c r="A714" s="13"/>
      <c r="B714" s="16">
        <f>IF($A714=InvestorTable[[#This Row],[Investor Tally '#]],InvestorTable[[#This Row],[Investor Name]], NA())</f>
        <v>0</v>
      </c>
      <c r="C714" s="14"/>
      <c r="D714" s="17" t="e" cm="1">
        <f t="array" ref="D714">_xlfn.IFS(AND(InvestorTable[[#This Row],[Investor Tally '#]] = 'Payment Tracker'!$A714, 'Payment Tracker'!$C714="Dividend") = TRUE, InvestorTable[[#This Row],[Monthly ROI (₦)]], AND(InvestorTable[[#This Row],[Investor Tally '#]] = 'Payment Tracker'!$A714, 'Payment Tracker'!$C714="Capital") = TRUE, InvestorTable[[#This Row],[Investment Capital (₦)]], AND(InvestorTable[[#This Row],[Investor Tally '#]] = 'Payment Tracker'!$A714, 'Payment Tracker'!$C714="Refund") = TRUE, InvestorTable[[#This Row],[Investment Capital (₦)]] )</f>
        <v>#N/A</v>
      </c>
      <c r="E714" s="15"/>
      <c r="F714" s="14"/>
      <c r="G714" s="14"/>
      <c r="H714" s="14"/>
    </row>
    <row r="715" spans="1:8" x14ac:dyDescent="0.3">
      <c r="A715" s="13"/>
      <c r="B715" s="16">
        <f>IF($A715=InvestorTable[[#This Row],[Investor Tally '#]],InvestorTable[[#This Row],[Investor Name]], NA())</f>
        <v>0</v>
      </c>
      <c r="C715" s="14"/>
      <c r="D715" s="17" t="e" cm="1">
        <f t="array" ref="D715">_xlfn.IFS(AND(InvestorTable[[#This Row],[Investor Tally '#]] = 'Payment Tracker'!$A715, 'Payment Tracker'!$C715="Dividend") = TRUE, InvestorTable[[#This Row],[Monthly ROI (₦)]], AND(InvestorTable[[#This Row],[Investor Tally '#]] = 'Payment Tracker'!$A715, 'Payment Tracker'!$C715="Capital") = TRUE, InvestorTable[[#This Row],[Investment Capital (₦)]], AND(InvestorTable[[#This Row],[Investor Tally '#]] = 'Payment Tracker'!$A715, 'Payment Tracker'!$C715="Refund") = TRUE, InvestorTable[[#This Row],[Investment Capital (₦)]] )</f>
        <v>#N/A</v>
      </c>
      <c r="E715" s="15"/>
      <c r="F715" s="14"/>
      <c r="G715" s="14"/>
      <c r="H715" s="14"/>
    </row>
    <row r="716" spans="1:8" x14ac:dyDescent="0.3">
      <c r="A716" s="13"/>
      <c r="B716" s="16">
        <f>IF($A716=InvestorTable[[#This Row],[Investor Tally '#]],InvestorTable[[#This Row],[Investor Name]], NA())</f>
        <v>0</v>
      </c>
      <c r="C716" s="14"/>
      <c r="D716" s="17" t="e" cm="1">
        <f t="array" ref="D716">_xlfn.IFS(AND(InvestorTable[[#This Row],[Investor Tally '#]] = 'Payment Tracker'!$A716, 'Payment Tracker'!$C716="Dividend") = TRUE, InvestorTable[[#This Row],[Monthly ROI (₦)]], AND(InvestorTable[[#This Row],[Investor Tally '#]] = 'Payment Tracker'!$A716, 'Payment Tracker'!$C716="Capital") = TRUE, InvestorTable[[#This Row],[Investment Capital (₦)]], AND(InvestorTable[[#This Row],[Investor Tally '#]] = 'Payment Tracker'!$A716, 'Payment Tracker'!$C716="Refund") = TRUE, InvestorTable[[#This Row],[Investment Capital (₦)]] )</f>
        <v>#N/A</v>
      </c>
      <c r="E716" s="15"/>
      <c r="F716" s="14"/>
      <c r="G716" s="14"/>
      <c r="H716" s="14"/>
    </row>
    <row r="717" spans="1:8" x14ac:dyDescent="0.3">
      <c r="A717" s="13"/>
      <c r="B717" s="16">
        <f>IF($A717=InvestorTable[[#This Row],[Investor Tally '#]],InvestorTable[[#This Row],[Investor Name]], NA())</f>
        <v>0</v>
      </c>
      <c r="C717" s="14"/>
      <c r="D717" s="17" t="e" cm="1">
        <f t="array" ref="D717">_xlfn.IFS(AND(InvestorTable[[#This Row],[Investor Tally '#]] = 'Payment Tracker'!$A717, 'Payment Tracker'!$C717="Dividend") = TRUE, InvestorTable[[#This Row],[Monthly ROI (₦)]], AND(InvestorTable[[#This Row],[Investor Tally '#]] = 'Payment Tracker'!$A717, 'Payment Tracker'!$C717="Capital") = TRUE, InvestorTable[[#This Row],[Investment Capital (₦)]], AND(InvestorTable[[#This Row],[Investor Tally '#]] = 'Payment Tracker'!$A717, 'Payment Tracker'!$C717="Refund") = TRUE, InvestorTable[[#This Row],[Investment Capital (₦)]] )</f>
        <v>#N/A</v>
      </c>
      <c r="E717" s="15"/>
      <c r="F717" s="14"/>
      <c r="G717" s="14"/>
      <c r="H717" s="14"/>
    </row>
    <row r="718" spans="1:8" x14ac:dyDescent="0.3">
      <c r="A718" s="13"/>
      <c r="B718" s="16">
        <f>IF($A718=InvestorTable[[#This Row],[Investor Tally '#]],InvestorTable[[#This Row],[Investor Name]], NA())</f>
        <v>0</v>
      </c>
      <c r="C718" s="14"/>
      <c r="D718" s="17" t="e" cm="1">
        <f t="array" ref="D718">_xlfn.IFS(AND(InvestorTable[[#This Row],[Investor Tally '#]] = 'Payment Tracker'!$A718, 'Payment Tracker'!$C718="Dividend") = TRUE, InvestorTable[[#This Row],[Monthly ROI (₦)]], AND(InvestorTable[[#This Row],[Investor Tally '#]] = 'Payment Tracker'!$A718, 'Payment Tracker'!$C718="Capital") = TRUE, InvestorTable[[#This Row],[Investment Capital (₦)]], AND(InvestorTable[[#This Row],[Investor Tally '#]] = 'Payment Tracker'!$A718, 'Payment Tracker'!$C718="Refund") = TRUE, InvestorTable[[#This Row],[Investment Capital (₦)]] )</f>
        <v>#N/A</v>
      </c>
      <c r="E718" s="15"/>
      <c r="F718" s="14"/>
      <c r="G718" s="14"/>
      <c r="H718" s="14"/>
    </row>
    <row r="719" spans="1:8" x14ac:dyDescent="0.3">
      <c r="A719" s="13"/>
      <c r="B719" s="16">
        <f>IF($A719=InvestorTable[[#This Row],[Investor Tally '#]],InvestorTable[[#This Row],[Investor Name]], NA())</f>
        <v>0</v>
      </c>
      <c r="C719" s="14"/>
      <c r="D719" s="17" t="e" cm="1">
        <f t="array" ref="D719">_xlfn.IFS(AND(InvestorTable[[#This Row],[Investor Tally '#]] = 'Payment Tracker'!$A719, 'Payment Tracker'!$C719="Dividend") = TRUE, InvestorTable[[#This Row],[Monthly ROI (₦)]], AND(InvestorTable[[#This Row],[Investor Tally '#]] = 'Payment Tracker'!$A719, 'Payment Tracker'!$C719="Capital") = TRUE, InvestorTable[[#This Row],[Investment Capital (₦)]], AND(InvestorTable[[#This Row],[Investor Tally '#]] = 'Payment Tracker'!$A719, 'Payment Tracker'!$C719="Refund") = TRUE, InvestorTable[[#This Row],[Investment Capital (₦)]] )</f>
        <v>#N/A</v>
      </c>
      <c r="E719" s="15"/>
      <c r="F719" s="14"/>
      <c r="G719" s="14"/>
      <c r="H719" s="14"/>
    </row>
    <row r="720" spans="1:8" x14ac:dyDescent="0.3">
      <c r="A720" s="13"/>
      <c r="B720" s="16">
        <f>IF($A720=InvestorTable[[#This Row],[Investor Tally '#]],InvestorTable[[#This Row],[Investor Name]], NA())</f>
        <v>0</v>
      </c>
      <c r="C720" s="14"/>
      <c r="D720" s="17" t="e" cm="1">
        <f t="array" ref="D720">_xlfn.IFS(AND(InvestorTable[[#This Row],[Investor Tally '#]] = 'Payment Tracker'!$A720, 'Payment Tracker'!$C720="Dividend") = TRUE, InvestorTable[[#This Row],[Monthly ROI (₦)]], AND(InvestorTable[[#This Row],[Investor Tally '#]] = 'Payment Tracker'!$A720, 'Payment Tracker'!$C720="Capital") = TRUE, InvestorTable[[#This Row],[Investment Capital (₦)]], AND(InvestorTable[[#This Row],[Investor Tally '#]] = 'Payment Tracker'!$A720, 'Payment Tracker'!$C720="Refund") = TRUE, InvestorTable[[#This Row],[Investment Capital (₦)]] )</f>
        <v>#N/A</v>
      </c>
      <c r="E720" s="15"/>
      <c r="F720" s="14"/>
      <c r="G720" s="14"/>
      <c r="H720" s="14"/>
    </row>
    <row r="721" spans="1:8" x14ac:dyDescent="0.3">
      <c r="A721" s="13"/>
      <c r="B721" s="16">
        <f>IF($A721=InvestorTable[[#This Row],[Investor Tally '#]],InvestorTable[[#This Row],[Investor Name]], NA())</f>
        <v>0</v>
      </c>
      <c r="C721" s="14"/>
      <c r="D721" s="17" t="e" cm="1">
        <f t="array" ref="D721">_xlfn.IFS(AND(InvestorTable[[#This Row],[Investor Tally '#]] = 'Payment Tracker'!$A721, 'Payment Tracker'!$C721="Dividend") = TRUE, InvestorTable[[#This Row],[Monthly ROI (₦)]], AND(InvestorTable[[#This Row],[Investor Tally '#]] = 'Payment Tracker'!$A721, 'Payment Tracker'!$C721="Capital") = TRUE, InvestorTable[[#This Row],[Investment Capital (₦)]], AND(InvestorTable[[#This Row],[Investor Tally '#]] = 'Payment Tracker'!$A721, 'Payment Tracker'!$C721="Refund") = TRUE, InvestorTable[[#This Row],[Investment Capital (₦)]] )</f>
        <v>#N/A</v>
      </c>
      <c r="E721" s="15"/>
      <c r="F721" s="14"/>
      <c r="G721" s="14"/>
      <c r="H721" s="14"/>
    </row>
    <row r="722" spans="1:8" x14ac:dyDescent="0.3">
      <c r="A722" s="13"/>
      <c r="B722" s="16">
        <f>IF($A722=InvestorTable[[#This Row],[Investor Tally '#]],InvestorTable[[#This Row],[Investor Name]], NA())</f>
        <v>0</v>
      </c>
      <c r="C722" s="14"/>
      <c r="D722" s="17" t="e" cm="1">
        <f t="array" ref="D722">_xlfn.IFS(AND(InvestorTable[[#This Row],[Investor Tally '#]] = 'Payment Tracker'!$A722, 'Payment Tracker'!$C722="Dividend") = TRUE, InvestorTable[[#This Row],[Monthly ROI (₦)]], AND(InvestorTable[[#This Row],[Investor Tally '#]] = 'Payment Tracker'!$A722, 'Payment Tracker'!$C722="Capital") = TRUE, InvestorTable[[#This Row],[Investment Capital (₦)]], AND(InvestorTable[[#This Row],[Investor Tally '#]] = 'Payment Tracker'!$A722, 'Payment Tracker'!$C722="Refund") = TRUE, InvestorTable[[#This Row],[Investment Capital (₦)]] )</f>
        <v>#N/A</v>
      </c>
      <c r="E722" s="15"/>
      <c r="F722" s="14"/>
      <c r="G722" s="14"/>
      <c r="H722" s="14"/>
    </row>
    <row r="723" spans="1:8" x14ac:dyDescent="0.3">
      <c r="A723" s="13"/>
      <c r="B723" s="16">
        <f>IF($A723=InvestorTable[[#This Row],[Investor Tally '#]],InvestorTable[[#This Row],[Investor Name]], NA())</f>
        <v>0</v>
      </c>
      <c r="C723" s="14"/>
      <c r="D723" s="17" t="e" cm="1">
        <f t="array" ref="D723">_xlfn.IFS(AND(InvestorTable[[#This Row],[Investor Tally '#]] = 'Payment Tracker'!$A723, 'Payment Tracker'!$C723="Dividend") = TRUE, InvestorTable[[#This Row],[Monthly ROI (₦)]], AND(InvestorTable[[#This Row],[Investor Tally '#]] = 'Payment Tracker'!$A723, 'Payment Tracker'!$C723="Capital") = TRUE, InvestorTable[[#This Row],[Investment Capital (₦)]], AND(InvestorTable[[#This Row],[Investor Tally '#]] = 'Payment Tracker'!$A723, 'Payment Tracker'!$C723="Refund") = TRUE, InvestorTable[[#This Row],[Investment Capital (₦)]] )</f>
        <v>#N/A</v>
      </c>
      <c r="E723" s="15"/>
      <c r="F723" s="14"/>
      <c r="G723" s="14"/>
      <c r="H723" s="14"/>
    </row>
    <row r="724" spans="1:8" x14ac:dyDescent="0.3">
      <c r="A724" s="13"/>
      <c r="B724" s="16">
        <f>IF($A724=InvestorTable[[#This Row],[Investor Tally '#]],InvestorTable[[#This Row],[Investor Name]], NA())</f>
        <v>0</v>
      </c>
      <c r="C724" s="14"/>
      <c r="D724" s="17" t="e" cm="1">
        <f t="array" ref="D724">_xlfn.IFS(AND(InvestorTable[[#This Row],[Investor Tally '#]] = 'Payment Tracker'!$A724, 'Payment Tracker'!$C724="Dividend") = TRUE, InvestorTable[[#This Row],[Monthly ROI (₦)]], AND(InvestorTable[[#This Row],[Investor Tally '#]] = 'Payment Tracker'!$A724, 'Payment Tracker'!$C724="Capital") = TRUE, InvestorTable[[#This Row],[Investment Capital (₦)]], AND(InvestorTable[[#This Row],[Investor Tally '#]] = 'Payment Tracker'!$A724, 'Payment Tracker'!$C724="Refund") = TRUE, InvestorTable[[#This Row],[Investment Capital (₦)]] )</f>
        <v>#N/A</v>
      </c>
      <c r="E724" s="15"/>
      <c r="F724" s="14"/>
      <c r="G724" s="14"/>
      <c r="H724" s="14"/>
    </row>
    <row r="725" spans="1:8" x14ac:dyDescent="0.3">
      <c r="A725" s="13"/>
      <c r="B725" s="16">
        <f>IF($A725=InvestorTable[[#This Row],[Investor Tally '#]],InvestorTable[[#This Row],[Investor Name]], NA())</f>
        <v>0</v>
      </c>
      <c r="C725" s="14"/>
      <c r="D725" s="17" t="e" cm="1">
        <f t="array" ref="D725">_xlfn.IFS(AND(InvestorTable[[#This Row],[Investor Tally '#]] = 'Payment Tracker'!$A725, 'Payment Tracker'!$C725="Dividend") = TRUE, InvestorTable[[#This Row],[Monthly ROI (₦)]], AND(InvestorTable[[#This Row],[Investor Tally '#]] = 'Payment Tracker'!$A725, 'Payment Tracker'!$C725="Capital") = TRUE, InvestorTable[[#This Row],[Investment Capital (₦)]], AND(InvestorTable[[#This Row],[Investor Tally '#]] = 'Payment Tracker'!$A725, 'Payment Tracker'!$C725="Refund") = TRUE, InvestorTable[[#This Row],[Investment Capital (₦)]] )</f>
        <v>#N/A</v>
      </c>
      <c r="E725" s="15"/>
      <c r="F725" s="14"/>
      <c r="G725" s="14"/>
      <c r="H725" s="14"/>
    </row>
    <row r="726" spans="1:8" x14ac:dyDescent="0.3">
      <c r="A726" s="13"/>
      <c r="B726" s="16">
        <f>IF($A726=InvestorTable[[#This Row],[Investor Tally '#]],InvestorTable[[#This Row],[Investor Name]], NA())</f>
        <v>0</v>
      </c>
      <c r="C726" s="14"/>
      <c r="D726" s="17" t="e" cm="1">
        <f t="array" ref="D726">_xlfn.IFS(AND(InvestorTable[[#This Row],[Investor Tally '#]] = 'Payment Tracker'!$A726, 'Payment Tracker'!$C726="Dividend") = TRUE, InvestorTable[[#This Row],[Monthly ROI (₦)]], AND(InvestorTable[[#This Row],[Investor Tally '#]] = 'Payment Tracker'!$A726, 'Payment Tracker'!$C726="Capital") = TRUE, InvestorTable[[#This Row],[Investment Capital (₦)]], AND(InvestorTable[[#This Row],[Investor Tally '#]] = 'Payment Tracker'!$A726, 'Payment Tracker'!$C726="Refund") = TRUE, InvestorTable[[#This Row],[Investment Capital (₦)]] )</f>
        <v>#N/A</v>
      </c>
      <c r="E726" s="15"/>
      <c r="F726" s="14"/>
      <c r="G726" s="14"/>
      <c r="H726" s="14"/>
    </row>
    <row r="727" spans="1:8" x14ac:dyDescent="0.3">
      <c r="A727" s="13"/>
      <c r="B727" s="16">
        <f>IF($A727=InvestorTable[[#This Row],[Investor Tally '#]],InvestorTable[[#This Row],[Investor Name]], NA())</f>
        <v>0</v>
      </c>
      <c r="C727" s="14"/>
      <c r="D727" s="17" t="e" cm="1">
        <f t="array" ref="D727">_xlfn.IFS(AND(InvestorTable[[#This Row],[Investor Tally '#]] = 'Payment Tracker'!$A727, 'Payment Tracker'!$C727="Dividend") = TRUE, InvestorTable[[#This Row],[Monthly ROI (₦)]], AND(InvestorTable[[#This Row],[Investor Tally '#]] = 'Payment Tracker'!$A727, 'Payment Tracker'!$C727="Capital") = TRUE, InvestorTable[[#This Row],[Investment Capital (₦)]], AND(InvestorTable[[#This Row],[Investor Tally '#]] = 'Payment Tracker'!$A727, 'Payment Tracker'!$C727="Refund") = TRUE, InvestorTable[[#This Row],[Investment Capital (₦)]] )</f>
        <v>#N/A</v>
      </c>
      <c r="E727" s="15"/>
      <c r="F727" s="14"/>
      <c r="G727" s="14"/>
      <c r="H727" s="14"/>
    </row>
    <row r="728" spans="1:8" x14ac:dyDescent="0.3">
      <c r="A728" s="13"/>
      <c r="B728" s="16">
        <f>IF($A728=InvestorTable[[#This Row],[Investor Tally '#]],InvestorTable[[#This Row],[Investor Name]], NA())</f>
        <v>0</v>
      </c>
      <c r="C728" s="14"/>
      <c r="D728" s="17" t="e" cm="1">
        <f t="array" ref="D728">_xlfn.IFS(AND(InvestorTable[[#This Row],[Investor Tally '#]] = 'Payment Tracker'!$A728, 'Payment Tracker'!$C728="Dividend") = TRUE, InvestorTable[[#This Row],[Monthly ROI (₦)]], AND(InvestorTable[[#This Row],[Investor Tally '#]] = 'Payment Tracker'!$A728, 'Payment Tracker'!$C728="Capital") = TRUE, InvestorTable[[#This Row],[Investment Capital (₦)]], AND(InvestorTable[[#This Row],[Investor Tally '#]] = 'Payment Tracker'!$A728, 'Payment Tracker'!$C728="Refund") = TRUE, InvestorTable[[#This Row],[Investment Capital (₦)]] )</f>
        <v>#N/A</v>
      </c>
      <c r="E728" s="15"/>
      <c r="F728" s="14"/>
      <c r="G728" s="14"/>
      <c r="H728" s="14"/>
    </row>
    <row r="729" spans="1:8" x14ac:dyDescent="0.3">
      <c r="A729" s="13"/>
      <c r="B729" s="16">
        <f>IF($A729=InvestorTable[[#This Row],[Investor Tally '#]],InvestorTable[[#This Row],[Investor Name]], NA())</f>
        <v>0</v>
      </c>
      <c r="C729" s="14"/>
      <c r="D729" s="17" t="e" cm="1">
        <f t="array" ref="D729">_xlfn.IFS(AND(InvestorTable[[#This Row],[Investor Tally '#]] = 'Payment Tracker'!$A729, 'Payment Tracker'!$C729="Dividend") = TRUE, InvestorTable[[#This Row],[Monthly ROI (₦)]], AND(InvestorTable[[#This Row],[Investor Tally '#]] = 'Payment Tracker'!$A729, 'Payment Tracker'!$C729="Capital") = TRUE, InvestorTable[[#This Row],[Investment Capital (₦)]], AND(InvestorTable[[#This Row],[Investor Tally '#]] = 'Payment Tracker'!$A729, 'Payment Tracker'!$C729="Refund") = TRUE, InvestorTable[[#This Row],[Investment Capital (₦)]] )</f>
        <v>#N/A</v>
      </c>
      <c r="E729" s="15"/>
      <c r="F729" s="14"/>
      <c r="G729" s="14"/>
      <c r="H729" s="14"/>
    </row>
    <row r="730" spans="1:8" x14ac:dyDescent="0.3">
      <c r="A730" s="13"/>
      <c r="B730" s="16">
        <f>IF($A730=InvestorTable[[#This Row],[Investor Tally '#]],InvestorTable[[#This Row],[Investor Name]], NA())</f>
        <v>0</v>
      </c>
      <c r="C730" s="14"/>
      <c r="D730" s="17" t="e" cm="1">
        <f t="array" ref="D730">_xlfn.IFS(AND(InvestorTable[[#This Row],[Investor Tally '#]] = 'Payment Tracker'!$A730, 'Payment Tracker'!$C730="Dividend") = TRUE, InvestorTable[[#This Row],[Monthly ROI (₦)]], AND(InvestorTable[[#This Row],[Investor Tally '#]] = 'Payment Tracker'!$A730, 'Payment Tracker'!$C730="Capital") = TRUE, InvestorTable[[#This Row],[Investment Capital (₦)]], AND(InvestorTable[[#This Row],[Investor Tally '#]] = 'Payment Tracker'!$A730, 'Payment Tracker'!$C730="Refund") = TRUE, InvestorTable[[#This Row],[Investment Capital (₦)]] )</f>
        <v>#N/A</v>
      </c>
      <c r="E730" s="15"/>
      <c r="F730" s="14"/>
      <c r="G730" s="14"/>
      <c r="H730" s="14"/>
    </row>
    <row r="731" spans="1:8" x14ac:dyDescent="0.3">
      <c r="A731" s="13"/>
      <c r="B731" s="16">
        <f>IF($A731=InvestorTable[[#This Row],[Investor Tally '#]],InvestorTable[[#This Row],[Investor Name]], NA())</f>
        <v>0</v>
      </c>
      <c r="C731" s="14"/>
      <c r="D731" s="17" t="e" cm="1">
        <f t="array" ref="D731">_xlfn.IFS(AND(InvestorTable[[#This Row],[Investor Tally '#]] = 'Payment Tracker'!$A731, 'Payment Tracker'!$C731="Dividend") = TRUE, InvestorTable[[#This Row],[Monthly ROI (₦)]], AND(InvestorTable[[#This Row],[Investor Tally '#]] = 'Payment Tracker'!$A731, 'Payment Tracker'!$C731="Capital") = TRUE, InvestorTable[[#This Row],[Investment Capital (₦)]], AND(InvestorTable[[#This Row],[Investor Tally '#]] = 'Payment Tracker'!$A731, 'Payment Tracker'!$C731="Refund") = TRUE, InvestorTable[[#This Row],[Investment Capital (₦)]] )</f>
        <v>#N/A</v>
      </c>
      <c r="E731" s="15"/>
      <c r="F731" s="14"/>
      <c r="G731" s="14"/>
      <c r="H731" s="14"/>
    </row>
    <row r="732" spans="1:8" x14ac:dyDescent="0.3">
      <c r="A732" s="13"/>
      <c r="B732" s="16">
        <f>IF($A732=InvestorTable[[#This Row],[Investor Tally '#]],InvestorTable[[#This Row],[Investor Name]], NA())</f>
        <v>0</v>
      </c>
      <c r="C732" s="14"/>
      <c r="D732" s="17" t="e" cm="1">
        <f t="array" ref="D732">_xlfn.IFS(AND(InvestorTable[[#This Row],[Investor Tally '#]] = 'Payment Tracker'!$A732, 'Payment Tracker'!$C732="Dividend") = TRUE, InvestorTable[[#This Row],[Monthly ROI (₦)]], AND(InvestorTable[[#This Row],[Investor Tally '#]] = 'Payment Tracker'!$A732, 'Payment Tracker'!$C732="Capital") = TRUE, InvestorTable[[#This Row],[Investment Capital (₦)]], AND(InvestorTable[[#This Row],[Investor Tally '#]] = 'Payment Tracker'!$A732, 'Payment Tracker'!$C732="Refund") = TRUE, InvestorTable[[#This Row],[Investment Capital (₦)]] )</f>
        <v>#N/A</v>
      </c>
      <c r="E732" s="15"/>
      <c r="F732" s="14"/>
      <c r="G732" s="14"/>
      <c r="H732" s="14"/>
    </row>
    <row r="733" spans="1:8" x14ac:dyDescent="0.3">
      <c r="A733" s="13"/>
      <c r="B733" s="16">
        <f>IF($A733=InvestorTable[[#This Row],[Investor Tally '#]],InvestorTable[[#This Row],[Investor Name]], NA())</f>
        <v>0</v>
      </c>
      <c r="C733" s="14"/>
      <c r="D733" s="17" t="e" cm="1">
        <f t="array" ref="D733">_xlfn.IFS(AND(InvestorTable[[#This Row],[Investor Tally '#]] = 'Payment Tracker'!$A733, 'Payment Tracker'!$C733="Dividend") = TRUE, InvestorTable[[#This Row],[Monthly ROI (₦)]], AND(InvestorTable[[#This Row],[Investor Tally '#]] = 'Payment Tracker'!$A733, 'Payment Tracker'!$C733="Capital") = TRUE, InvestorTable[[#This Row],[Investment Capital (₦)]], AND(InvestorTable[[#This Row],[Investor Tally '#]] = 'Payment Tracker'!$A733, 'Payment Tracker'!$C733="Refund") = TRUE, InvestorTable[[#This Row],[Investment Capital (₦)]] )</f>
        <v>#N/A</v>
      </c>
      <c r="E733" s="15"/>
      <c r="F733" s="14"/>
      <c r="G733" s="14"/>
      <c r="H733" s="14"/>
    </row>
    <row r="734" spans="1:8" x14ac:dyDescent="0.3">
      <c r="A734" s="13"/>
      <c r="B734" s="16">
        <f>IF($A734=InvestorTable[[#This Row],[Investor Tally '#]],InvestorTable[[#This Row],[Investor Name]], NA())</f>
        <v>0</v>
      </c>
      <c r="C734" s="14"/>
      <c r="D734" s="17" t="e" cm="1">
        <f t="array" ref="D734">_xlfn.IFS(AND(InvestorTable[[#This Row],[Investor Tally '#]] = 'Payment Tracker'!$A734, 'Payment Tracker'!$C734="Dividend") = TRUE, InvestorTable[[#This Row],[Monthly ROI (₦)]], AND(InvestorTable[[#This Row],[Investor Tally '#]] = 'Payment Tracker'!$A734, 'Payment Tracker'!$C734="Capital") = TRUE, InvestorTable[[#This Row],[Investment Capital (₦)]], AND(InvestorTable[[#This Row],[Investor Tally '#]] = 'Payment Tracker'!$A734, 'Payment Tracker'!$C734="Refund") = TRUE, InvestorTable[[#This Row],[Investment Capital (₦)]] )</f>
        <v>#N/A</v>
      </c>
      <c r="E734" s="15"/>
      <c r="F734" s="14"/>
      <c r="G734" s="14"/>
      <c r="H734" s="14"/>
    </row>
    <row r="735" spans="1:8" x14ac:dyDescent="0.3">
      <c r="A735" s="13"/>
      <c r="B735" s="16">
        <f>IF($A735=InvestorTable[[#This Row],[Investor Tally '#]],InvestorTable[[#This Row],[Investor Name]], NA())</f>
        <v>0</v>
      </c>
      <c r="C735" s="14"/>
      <c r="D735" s="17" t="e" cm="1">
        <f t="array" ref="D735">_xlfn.IFS(AND(InvestorTable[[#This Row],[Investor Tally '#]] = 'Payment Tracker'!$A735, 'Payment Tracker'!$C735="Dividend") = TRUE, InvestorTable[[#This Row],[Monthly ROI (₦)]], AND(InvestorTable[[#This Row],[Investor Tally '#]] = 'Payment Tracker'!$A735, 'Payment Tracker'!$C735="Capital") = TRUE, InvestorTable[[#This Row],[Investment Capital (₦)]], AND(InvestorTable[[#This Row],[Investor Tally '#]] = 'Payment Tracker'!$A735, 'Payment Tracker'!$C735="Refund") = TRUE, InvestorTable[[#This Row],[Investment Capital (₦)]] )</f>
        <v>#N/A</v>
      </c>
      <c r="E735" s="15"/>
      <c r="F735" s="14"/>
      <c r="G735" s="14"/>
      <c r="H735" s="14"/>
    </row>
    <row r="736" spans="1:8" x14ac:dyDescent="0.3">
      <c r="A736" s="13"/>
      <c r="B736" s="16">
        <f>IF($A736=InvestorTable[[#This Row],[Investor Tally '#]],InvestorTable[[#This Row],[Investor Name]], NA())</f>
        <v>0</v>
      </c>
      <c r="C736" s="14"/>
      <c r="D736" s="17" t="e" cm="1">
        <f t="array" ref="D736">_xlfn.IFS(AND(InvestorTable[[#This Row],[Investor Tally '#]] = 'Payment Tracker'!$A736, 'Payment Tracker'!$C736="Dividend") = TRUE, InvestorTable[[#This Row],[Monthly ROI (₦)]], AND(InvestorTable[[#This Row],[Investor Tally '#]] = 'Payment Tracker'!$A736, 'Payment Tracker'!$C736="Capital") = TRUE, InvestorTable[[#This Row],[Investment Capital (₦)]], AND(InvestorTable[[#This Row],[Investor Tally '#]] = 'Payment Tracker'!$A736, 'Payment Tracker'!$C736="Refund") = TRUE, InvestorTable[[#This Row],[Investment Capital (₦)]] )</f>
        <v>#N/A</v>
      </c>
      <c r="E736" s="15"/>
      <c r="F736" s="14"/>
      <c r="G736" s="14"/>
      <c r="H736" s="14"/>
    </row>
    <row r="737" spans="1:8" x14ac:dyDescent="0.3">
      <c r="A737" s="13"/>
      <c r="B737" s="16">
        <f>IF($A737=InvestorTable[[#This Row],[Investor Tally '#]],InvestorTable[[#This Row],[Investor Name]], NA())</f>
        <v>0</v>
      </c>
      <c r="C737" s="14"/>
      <c r="D737" s="17" t="e" cm="1">
        <f t="array" ref="D737">_xlfn.IFS(AND(InvestorTable[[#This Row],[Investor Tally '#]] = 'Payment Tracker'!$A737, 'Payment Tracker'!$C737="Dividend") = TRUE, InvestorTable[[#This Row],[Monthly ROI (₦)]], AND(InvestorTable[[#This Row],[Investor Tally '#]] = 'Payment Tracker'!$A737, 'Payment Tracker'!$C737="Capital") = TRUE, InvestorTable[[#This Row],[Investment Capital (₦)]], AND(InvestorTable[[#This Row],[Investor Tally '#]] = 'Payment Tracker'!$A737, 'Payment Tracker'!$C737="Refund") = TRUE, InvestorTable[[#This Row],[Investment Capital (₦)]] )</f>
        <v>#N/A</v>
      </c>
      <c r="E737" s="15"/>
      <c r="F737" s="14"/>
      <c r="G737" s="14"/>
      <c r="H737" s="14"/>
    </row>
    <row r="738" spans="1:8" x14ac:dyDescent="0.3">
      <c r="A738" s="13"/>
      <c r="B738" s="16">
        <f>IF($A738=InvestorTable[[#This Row],[Investor Tally '#]],InvestorTable[[#This Row],[Investor Name]], NA())</f>
        <v>0</v>
      </c>
      <c r="C738" s="14"/>
      <c r="D738" s="17" t="e" cm="1">
        <f t="array" ref="D738">_xlfn.IFS(AND(InvestorTable[[#This Row],[Investor Tally '#]] = 'Payment Tracker'!$A738, 'Payment Tracker'!$C738="Dividend") = TRUE, InvestorTable[[#This Row],[Monthly ROI (₦)]], AND(InvestorTable[[#This Row],[Investor Tally '#]] = 'Payment Tracker'!$A738, 'Payment Tracker'!$C738="Capital") = TRUE, InvestorTable[[#This Row],[Investment Capital (₦)]], AND(InvestorTable[[#This Row],[Investor Tally '#]] = 'Payment Tracker'!$A738, 'Payment Tracker'!$C738="Refund") = TRUE, InvestorTable[[#This Row],[Investment Capital (₦)]] )</f>
        <v>#N/A</v>
      </c>
      <c r="E738" s="15"/>
      <c r="F738" s="14"/>
      <c r="G738" s="14"/>
      <c r="H738" s="14"/>
    </row>
    <row r="739" spans="1:8" x14ac:dyDescent="0.3">
      <c r="A739" s="13"/>
      <c r="B739" s="16">
        <f>IF($A739=InvestorTable[[#This Row],[Investor Tally '#]],InvestorTable[[#This Row],[Investor Name]], NA())</f>
        <v>0</v>
      </c>
      <c r="C739" s="14"/>
      <c r="D739" s="17" t="e" cm="1">
        <f t="array" ref="D739">_xlfn.IFS(AND(InvestorTable[[#This Row],[Investor Tally '#]] = 'Payment Tracker'!$A739, 'Payment Tracker'!$C739="Dividend") = TRUE, InvestorTable[[#This Row],[Monthly ROI (₦)]], AND(InvestorTable[[#This Row],[Investor Tally '#]] = 'Payment Tracker'!$A739, 'Payment Tracker'!$C739="Capital") = TRUE, InvestorTable[[#This Row],[Investment Capital (₦)]], AND(InvestorTable[[#This Row],[Investor Tally '#]] = 'Payment Tracker'!$A739, 'Payment Tracker'!$C739="Refund") = TRUE, InvestorTable[[#This Row],[Investment Capital (₦)]] )</f>
        <v>#N/A</v>
      </c>
      <c r="E739" s="15"/>
      <c r="F739" s="14"/>
      <c r="G739" s="14"/>
      <c r="H739" s="14"/>
    </row>
    <row r="740" spans="1:8" x14ac:dyDescent="0.3">
      <c r="A740" s="13"/>
      <c r="B740" s="16">
        <f>IF($A740=InvestorTable[[#This Row],[Investor Tally '#]],InvestorTable[[#This Row],[Investor Name]], NA())</f>
        <v>0</v>
      </c>
      <c r="C740" s="14"/>
      <c r="D740" s="17" t="e" cm="1">
        <f t="array" ref="D740">_xlfn.IFS(AND(InvestorTable[[#This Row],[Investor Tally '#]] = 'Payment Tracker'!$A740, 'Payment Tracker'!$C740="Dividend") = TRUE, InvestorTable[[#This Row],[Monthly ROI (₦)]], AND(InvestorTable[[#This Row],[Investor Tally '#]] = 'Payment Tracker'!$A740, 'Payment Tracker'!$C740="Capital") = TRUE, InvestorTable[[#This Row],[Investment Capital (₦)]], AND(InvestorTable[[#This Row],[Investor Tally '#]] = 'Payment Tracker'!$A740, 'Payment Tracker'!$C740="Refund") = TRUE, InvestorTable[[#This Row],[Investment Capital (₦)]] )</f>
        <v>#N/A</v>
      </c>
      <c r="E740" s="15"/>
      <c r="F740" s="14"/>
      <c r="G740" s="14"/>
      <c r="H740" s="14"/>
    </row>
    <row r="741" spans="1:8" x14ac:dyDescent="0.3">
      <c r="A741" s="13"/>
      <c r="B741" s="16">
        <f>IF($A741=InvestorTable[[#This Row],[Investor Tally '#]],InvestorTable[[#This Row],[Investor Name]], NA())</f>
        <v>0</v>
      </c>
      <c r="C741" s="14"/>
      <c r="D741" s="17" t="e" cm="1">
        <f t="array" ref="D741">_xlfn.IFS(AND(InvestorTable[[#This Row],[Investor Tally '#]] = 'Payment Tracker'!$A741, 'Payment Tracker'!$C741="Dividend") = TRUE, InvestorTable[[#This Row],[Monthly ROI (₦)]], AND(InvestorTable[[#This Row],[Investor Tally '#]] = 'Payment Tracker'!$A741, 'Payment Tracker'!$C741="Capital") = TRUE, InvestorTable[[#This Row],[Investment Capital (₦)]], AND(InvestorTable[[#This Row],[Investor Tally '#]] = 'Payment Tracker'!$A741, 'Payment Tracker'!$C741="Refund") = TRUE, InvestorTable[[#This Row],[Investment Capital (₦)]] )</f>
        <v>#N/A</v>
      </c>
      <c r="E741" s="15"/>
      <c r="F741" s="14"/>
      <c r="G741" s="14"/>
      <c r="H741" s="14"/>
    </row>
    <row r="742" spans="1:8" x14ac:dyDescent="0.3">
      <c r="A742" s="13"/>
      <c r="B742" s="16">
        <f>IF($A742=InvestorTable[[#This Row],[Investor Tally '#]],InvestorTable[[#This Row],[Investor Name]], NA())</f>
        <v>0</v>
      </c>
      <c r="C742" s="14"/>
      <c r="D742" s="17" t="e" cm="1">
        <f t="array" ref="D742">_xlfn.IFS(AND(InvestorTable[[#This Row],[Investor Tally '#]] = 'Payment Tracker'!$A742, 'Payment Tracker'!$C742="Dividend") = TRUE, InvestorTable[[#This Row],[Monthly ROI (₦)]], AND(InvestorTable[[#This Row],[Investor Tally '#]] = 'Payment Tracker'!$A742, 'Payment Tracker'!$C742="Capital") = TRUE, InvestorTable[[#This Row],[Investment Capital (₦)]], AND(InvestorTable[[#This Row],[Investor Tally '#]] = 'Payment Tracker'!$A742, 'Payment Tracker'!$C742="Refund") = TRUE, InvestorTable[[#This Row],[Investment Capital (₦)]] )</f>
        <v>#N/A</v>
      </c>
      <c r="E742" s="15"/>
      <c r="F742" s="14"/>
      <c r="G742" s="14"/>
      <c r="H742" s="14"/>
    </row>
    <row r="743" spans="1:8" x14ac:dyDescent="0.3">
      <c r="A743" s="13"/>
      <c r="B743" s="16">
        <f>IF($A743=InvestorTable[[#This Row],[Investor Tally '#]],InvestorTable[[#This Row],[Investor Name]], NA())</f>
        <v>0</v>
      </c>
      <c r="C743" s="14"/>
      <c r="D743" s="17" t="e" cm="1">
        <f t="array" ref="D743">_xlfn.IFS(AND(InvestorTable[[#This Row],[Investor Tally '#]] = 'Payment Tracker'!$A743, 'Payment Tracker'!$C743="Dividend") = TRUE, InvestorTable[[#This Row],[Monthly ROI (₦)]], AND(InvestorTable[[#This Row],[Investor Tally '#]] = 'Payment Tracker'!$A743, 'Payment Tracker'!$C743="Capital") = TRUE, InvestorTable[[#This Row],[Investment Capital (₦)]], AND(InvestorTable[[#This Row],[Investor Tally '#]] = 'Payment Tracker'!$A743, 'Payment Tracker'!$C743="Refund") = TRUE, InvestorTable[[#This Row],[Investment Capital (₦)]] )</f>
        <v>#N/A</v>
      </c>
      <c r="E743" s="15"/>
      <c r="F743" s="14"/>
      <c r="G743" s="14"/>
      <c r="H743" s="14"/>
    </row>
    <row r="744" spans="1:8" x14ac:dyDescent="0.3">
      <c r="A744" s="13"/>
      <c r="B744" s="16">
        <f>IF($A744=InvestorTable[[#This Row],[Investor Tally '#]],InvestorTable[[#This Row],[Investor Name]], NA())</f>
        <v>0</v>
      </c>
      <c r="C744" s="14"/>
      <c r="D744" s="17" t="e" cm="1">
        <f t="array" ref="D744">_xlfn.IFS(AND(InvestorTable[[#This Row],[Investor Tally '#]] = 'Payment Tracker'!$A744, 'Payment Tracker'!$C744="Dividend") = TRUE, InvestorTable[[#This Row],[Monthly ROI (₦)]], AND(InvestorTable[[#This Row],[Investor Tally '#]] = 'Payment Tracker'!$A744, 'Payment Tracker'!$C744="Capital") = TRUE, InvestorTable[[#This Row],[Investment Capital (₦)]], AND(InvestorTable[[#This Row],[Investor Tally '#]] = 'Payment Tracker'!$A744, 'Payment Tracker'!$C744="Refund") = TRUE, InvestorTable[[#This Row],[Investment Capital (₦)]] )</f>
        <v>#N/A</v>
      </c>
      <c r="E744" s="15"/>
      <c r="F744" s="14"/>
      <c r="G744" s="14"/>
      <c r="H744" s="14"/>
    </row>
    <row r="745" spans="1:8" x14ac:dyDescent="0.3">
      <c r="A745" s="13"/>
      <c r="B745" s="16">
        <f>IF($A745=InvestorTable[[#This Row],[Investor Tally '#]],InvestorTable[[#This Row],[Investor Name]], NA())</f>
        <v>0</v>
      </c>
      <c r="C745" s="14"/>
      <c r="D745" s="17" t="e" cm="1">
        <f t="array" ref="D745">_xlfn.IFS(AND(InvestorTable[[#This Row],[Investor Tally '#]] = 'Payment Tracker'!$A745, 'Payment Tracker'!$C745="Dividend") = TRUE, InvestorTable[[#This Row],[Monthly ROI (₦)]], AND(InvestorTable[[#This Row],[Investor Tally '#]] = 'Payment Tracker'!$A745, 'Payment Tracker'!$C745="Capital") = TRUE, InvestorTable[[#This Row],[Investment Capital (₦)]], AND(InvestorTable[[#This Row],[Investor Tally '#]] = 'Payment Tracker'!$A745, 'Payment Tracker'!$C745="Refund") = TRUE, InvestorTable[[#This Row],[Investment Capital (₦)]] )</f>
        <v>#N/A</v>
      </c>
      <c r="E745" s="15"/>
      <c r="F745" s="14"/>
      <c r="G745" s="14"/>
      <c r="H745" s="14"/>
    </row>
    <row r="746" spans="1:8" x14ac:dyDescent="0.3">
      <c r="A746" s="13"/>
      <c r="B746" s="16">
        <f>IF($A746=InvestorTable[[#This Row],[Investor Tally '#]],InvestorTable[[#This Row],[Investor Name]], NA())</f>
        <v>0</v>
      </c>
      <c r="C746" s="14"/>
      <c r="D746" s="17" t="e" cm="1">
        <f t="array" ref="D746">_xlfn.IFS(AND(InvestorTable[[#This Row],[Investor Tally '#]] = 'Payment Tracker'!$A746, 'Payment Tracker'!$C746="Dividend") = TRUE, InvestorTable[[#This Row],[Monthly ROI (₦)]], AND(InvestorTable[[#This Row],[Investor Tally '#]] = 'Payment Tracker'!$A746, 'Payment Tracker'!$C746="Capital") = TRUE, InvestorTable[[#This Row],[Investment Capital (₦)]], AND(InvestorTable[[#This Row],[Investor Tally '#]] = 'Payment Tracker'!$A746, 'Payment Tracker'!$C746="Refund") = TRUE, InvestorTable[[#This Row],[Investment Capital (₦)]] )</f>
        <v>#N/A</v>
      </c>
      <c r="E746" s="15"/>
      <c r="F746" s="14"/>
      <c r="G746" s="14"/>
      <c r="H746" s="14"/>
    </row>
    <row r="747" spans="1:8" x14ac:dyDescent="0.3">
      <c r="A747" s="13"/>
      <c r="B747" s="16">
        <f>IF($A747=InvestorTable[[#This Row],[Investor Tally '#]],InvestorTable[[#This Row],[Investor Name]], NA())</f>
        <v>0</v>
      </c>
      <c r="C747" s="14"/>
      <c r="D747" s="17" t="e" cm="1">
        <f t="array" ref="D747">_xlfn.IFS(AND(InvestorTable[[#This Row],[Investor Tally '#]] = 'Payment Tracker'!$A747, 'Payment Tracker'!$C747="Dividend") = TRUE, InvestorTable[[#This Row],[Monthly ROI (₦)]], AND(InvestorTable[[#This Row],[Investor Tally '#]] = 'Payment Tracker'!$A747, 'Payment Tracker'!$C747="Capital") = TRUE, InvestorTable[[#This Row],[Investment Capital (₦)]], AND(InvestorTable[[#This Row],[Investor Tally '#]] = 'Payment Tracker'!$A747, 'Payment Tracker'!$C747="Refund") = TRUE, InvestorTable[[#This Row],[Investment Capital (₦)]] )</f>
        <v>#N/A</v>
      </c>
      <c r="E747" s="15"/>
      <c r="F747" s="14"/>
      <c r="G747" s="14"/>
      <c r="H747" s="14"/>
    </row>
    <row r="748" spans="1:8" x14ac:dyDescent="0.3">
      <c r="A748" s="13"/>
      <c r="B748" s="16">
        <f>IF($A748=InvestorTable[[#This Row],[Investor Tally '#]],InvestorTable[[#This Row],[Investor Name]], NA())</f>
        <v>0</v>
      </c>
      <c r="C748" s="14"/>
      <c r="D748" s="17" t="e" cm="1">
        <f t="array" ref="D748">_xlfn.IFS(AND(InvestorTable[[#This Row],[Investor Tally '#]] = 'Payment Tracker'!$A748, 'Payment Tracker'!$C748="Dividend") = TRUE, InvestorTable[[#This Row],[Monthly ROI (₦)]], AND(InvestorTable[[#This Row],[Investor Tally '#]] = 'Payment Tracker'!$A748, 'Payment Tracker'!$C748="Capital") = TRUE, InvestorTable[[#This Row],[Investment Capital (₦)]], AND(InvestorTable[[#This Row],[Investor Tally '#]] = 'Payment Tracker'!$A748, 'Payment Tracker'!$C748="Refund") = TRUE, InvestorTable[[#This Row],[Investment Capital (₦)]] )</f>
        <v>#N/A</v>
      </c>
      <c r="E748" s="15"/>
      <c r="F748" s="14"/>
      <c r="G748" s="14"/>
      <c r="H748" s="14"/>
    </row>
    <row r="749" spans="1:8" x14ac:dyDescent="0.3">
      <c r="A749" s="13"/>
      <c r="B749" s="16">
        <f>IF($A749=InvestorTable[[#This Row],[Investor Tally '#]],InvestorTable[[#This Row],[Investor Name]], NA())</f>
        <v>0</v>
      </c>
      <c r="C749" s="14"/>
      <c r="D749" s="17" t="e" cm="1">
        <f t="array" ref="D749">_xlfn.IFS(AND(InvestorTable[[#This Row],[Investor Tally '#]] = 'Payment Tracker'!$A749, 'Payment Tracker'!$C749="Dividend") = TRUE, InvestorTable[[#This Row],[Monthly ROI (₦)]], AND(InvestorTable[[#This Row],[Investor Tally '#]] = 'Payment Tracker'!$A749, 'Payment Tracker'!$C749="Capital") = TRUE, InvestorTable[[#This Row],[Investment Capital (₦)]], AND(InvestorTable[[#This Row],[Investor Tally '#]] = 'Payment Tracker'!$A749, 'Payment Tracker'!$C749="Refund") = TRUE, InvestorTable[[#This Row],[Investment Capital (₦)]] )</f>
        <v>#N/A</v>
      </c>
      <c r="E749" s="15"/>
      <c r="F749" s="14"/>
      <c r="G749" s="14"/>
      <c r="H749" s="14"/>
    </row>
    <row r="750" spans="1:8" x14ac:dyDescent="0.3">
      <c r="A750" s="13"/>
      <c r="B750" s="16">
        <f>IF($A750=InvestorTable[[#This Row],[Investor Tally '#]],InvestorTable[[#This Row],[Investor Name]], NA())</f>
        <v>0</v>
      </c>
      <c r="C750" s="14"/>
      <c r="D750" s="17" t="e" cm="1">
        <f t="array" ref="D750">_xlfn.IFS(AND(InvestorTable[[#This Row],[Investor Tally '#]] = 'Payment Tracker'!$A750, 'Payment Tracker'!$C750="Dividend") = TRUE, InvestorTable[[#This Row],[Monthly ROI (₦)]], AND(InvestorTable[[#This Row],[Investor Tally '#]] = 'Payment Tracker'!$A750, 'Payment Tracker'!$C750="Capital") = TRUE, InvestorTable[[#This Row],[Investment Capital (₦)]], AND(InvestorTable[[#This Row],[Investor Tally '#]] = 'Payment Tracker'!$A750, 'Payment Tracker'!$C750="Refund") = TRUE, InvestorTable[[#This Row],[Investment Capital (₦)]] )</f>
        <v>#N/A</v>
      </c>
      <c r="E750" s="15"/>
      <c r="F750" s="14"/>
      <c r="G750" s="14"/>
      <c r="H750" s="14"/>
    </row>
    <row r="751" spans="1:8" x14ac:dyDescent="0.3">
      <c r="A751" s="13"/>
      <c r="B751" s="16">
        <f>IF($A751=InvestorTable[[#This Row],[Investor Tally '#]],InvestorTable[[#This Row],[Investor Name]], NA())</f>
        <v>0</v>
      </c>
      <c r="C751" s="14"/>
      <c r="D751" s="17" t="e" cm="1">
        <f t="array" ref="D751">_xlfn.IFS(AND(InvestorTable[[#This Row],[Investor Tally '#]] = 'Payment Tracker'!$A751, 'Payment Tracker'!$C751="Dividend") = TRUE, InvestorTable[[#This Row],[Monthly ROI (₦)]], AND(InvestorTable[[#This Row],[Investor Tally '#]] = 'Payment Tracker'!$A751, 'Payment Tracker'!$C751="Capital") = TRUE, InvestorTable[[#This Row],[Investment Capital (₦)]], AND(InvestorTable[[#This Row],[Investor Tally '#]] = 'Payment Tracker'!$A751, 'Payment Tracker'!$C751="Refund") = TRUE, InvestorTable[[#This Row],[Investment Capital (₦)]] )</f>
        <v>#N/A</v>
      </c>
      <c r="E751" s="15"/>
      <c r="F751" s="14"/>
      <c r="G751" s="14"/>
      <c r="H751" s="14"/>
    </row>
    <row r="752" spans="1:8" x14ac:dyDescent="0.3">
      <c r="A752" s="13"/>
      <c r="B752" s="16">
        <f>IF($A752=InvestorTable[[#This Row],[Investor Tally '#]],InvestorTable[[#This Row],[Investor Name]], NA())</f>
        <v>0</v>
      </c>
      <c r="C752" s="14"/>
      <c r="D752" s="17" t="e" cm="1">
        <f t="array" ref="D752">_xlfn.IFS(AND(InvestorTable[[#This Row],[Investor Tally '#]] = 'Payment Tracker'!$A752, 'Payment Tracker'!$C752="Dividend") = TRUE, InvestorTable[[#This Row],[Monthly ROI (₦)]], AND(InvestorTable[[#This Row],[Investor Tally '#]] = 'Payment Tracker'!$A752, 'Payment Tracker'!$C752="Capital") = TRUE, InvestorTable[[#This Row],[Investment Capital (₦)]], AND(InvestorTable[[#This Row],[Investor Tally '#]] = 'Payment Tracker'!$A752, 'Payment Tracker'!$C752="Refund") = TRUE, InvestorTable[[#This Row],[Investment Capital (₦)]] )</f>
        <v>#N/A</v>
      </c>
      <c r="E752" s="15"/>
      <c r="F752" s="14"/>
      <c r="G752" s="14"/>
      <c r="H752" s="14"/>
    </row>
    <row r="753" spans="1:8" x14ac:dyDescent="0.3">
      <c r="A753" s="13"/>
      <c r="B753" s="16">
        <f>IF($A753=InvestorTable[[#This Row],[Investor Tally '#]],InvestorTable[[#This Row],[Investor Name]], NA())</f>
        <v>0</v>
      </c>
      <c r="C753" s="14"/>
      <c r="D753" s="17" t="e" cm="1">
        <f t="array" ref="D753">_xlfn.IFS(AND(InvestorTable[[#This Row],[Investor Tally '#]] = 'Payment Tracker'!$A753, 'Payment Tracker'!$C753="Dividend") = TRUE, InvestorTable[[#This Row],[Monthly ROI (₦)]], AND(InvestorTable[[#This Row],[Investor Tally '#]] = 'Payment Tracker'!$A753, 'Payment Tracker'!$C753="Capital") = TRUE, InvestorTable[[#This Row],[Investment Capital (₦)]], AND(InvestorTable[[#This Row],[Investor Tally '#]] = 'Payment Tracker'!$A753, 'Payment Tracker'!$C753="Refund") = TRUE, InvestorTable[[#This Row],[Investment Capital (₦)]] )</f>
        <v>#N/A</v>
      </c>
      <c r="E753" s="15"/>
      <c r="F753" s="14"/>
      <c r="G753" s="14"/>
      <c r="H753" s="14"/>
    </row>
    <row r="754" spans="1:8" x14ac:dyDescent="0.3">
      <c r="A754" s="13"/>
      <c r="B754" s="16">
        <f>IF($A754=InvestorTable[[#This Row],[Investor Tally '#]],InvestorTable[[#This Row],[Investor Name]], NA())</f>
        <v>0</v>
      </c>
      <c r="C754" s="14"/>
      <c r="D754" s="17" t="e" cm="1">
        <f t="array" ref="D754">_xlfn.IFS(AND(InvestorTable[[#This Row],[Investor Tally '#]] = 'Payment Tracker'!$A754, 'Payment Tracker'!$C754="Dividend") = TRUE, InvestorTable[[#This Row],[Monthly ROI (₦)]], AND(InvestorTable[[#This Row],[Investor Tally '#]] = 'Payment Tracker'!$A754, 'Payment Tracker'!$C754="Capital") = TRUE, InvestorTable[[#This Row],[Investment Capital (₦)]], AND(InvestorTable[[#This Row],[Investor Tally '#]] = 'Payment Tracker'!$A754, 'Payment Tracker'!$C754="Refund") = TRUE, InvestorTable[[#This Row],[Investment Capital (₦)]] )</f>
        <v>#N/A</v>
      </c>
      <c r="E754" s="15"/>
      <c r="F754" s="14"/>
      <c r="G754" s="14"/>
      <c r="H754" s="14"/>
    </row>
    <row r="755" spans="1:8" x14ac:dyDescent="0.3">
      <c r="A755" s="13"/>
      <c r="B755" s="16">
        <f>IF($A755=InvestorTable[[#This Row],[Investor Tally '#]],InvestorTable[[#This Row],[Investor Name]], NA())</f>
        <v>0</v>
      </c>
      <c r="C755" s="14"/>
      <c r="D755" s="17" t="e" cm="1">
        <f t="array" ref="D755">_xlfn.IFS(AND(InvestorTable[[#This Row],[Investor Tally '#]] = 'Payment Tracker'!$A755, 'Payment Tracker'!$C755="Dividend") = TRUE, InvestorTable[[#This Row],[Monthly ROI (₦)]], AND(InvestorTable[[#This Row],[Investor Tally '#]] = 'Payment Tracker'!$A755, 'Payment Tracker'!$C755="Capital") = TRUE, InvestorTable[[#This Row],[Investment Capital (₦)]], AND(InvestorTable[[#This Row],[Investor Tally '#]] = 'Payment Tracker'!$A755, 'Payment Tracker'!$C755="Refund") = TRUE, InvestorTable[[#This Row],[Investment Capital (₦)]] )</f>
        <v>#N/A</v>
      </c>
      <c r="E755" s="15"/>
      <c r="F755" s="14"/>
      <c r="G755" s="14"/>
      <c r="H755" s="14"/>
    </row>
    <row r="756" spans="1:8" x14ac:dyDescent="0.3">
      <c r="A756" s="13"/>
      <c r="B756" s="16">
        <f>IF($A756=InvestorTable[[#This Row],[Investor Tally '#]],InvestorTable[[#This Row],[Investor Name]], NA())</f>
        <v>0</v>
      </c>
      <c r="C756" s="14"/>
      <c r="D756" s="17" t="e" cm="1">
        <f t="array" ref="D756">_xlfn.IFS(AND(InvestorTable[[#This Row],[Investor Tally '#]] = 'Payment Tracker'!$A756, 'Payment Tracker'!$C756="Dividend") = TRUE, InvestorTable[[#This Row],[Monthly ROI (₦)]], AND(InvestorTable[[#This Row],[Investor Tally '#]] = 'Payment Tracker'!$A756, 'Payment Tracker'!$C756="Capital") = TRUE, InvestorTable[[#This Row],[Investment Capital (₦)]], AND(InvestorTable[[#This Row],[Investor Tally '#]] = 'Payment Tracker'!$A756, 'Payment Tracker'!$C756="Refund") = TRUE, InvestorTable[[#This Row],[Investment Capital (₦)]] )</f>
        <v>#N/A</v>
      </c>
      <c r="E756" s="15"/>
      <c r="F756" s="14"/>
      <c r="G756" s="14"/>
      <c r="H756" s="14"/>
    </row>
    <row r="757" spans="1:8" x14ac:dyDescent="0.3">
      <c r="A757" s="13"/>
      <c r="B757" s="16">
        <f>IF($A757=InvestorTable[[#This Row],[Investor Tally '#]],InvestorTable[[#This Row],[Investor Name]], NA())</f>
        <v>0</v>
      </c>
      <c r="C757" s="14"/>
      <c r="D757" s="17" t="e" cm="1">
        <f t="array" ref="D757">_xlfn.IFS(AND(InvestorTable[[#This Row],[Investor Tally '#]] = 'Payment Tracker'!$A757, 'Payment Tracker'!$C757="Dividend") = TRUE, InvestorTable[[#This Row],[Monthly ROI (₦)]], AND(InvestorTable[[#This Row],[Investor Tally '#]] = 'Payment Tracker'!$A757, 'Payment Tracker'!$C757="Capital") = TRUE, InvestorTable[[#This Row],[Investment Capital (₦)]], AND(InvestorTable[[#This Row],[Investor Tally '#]] = 'Payment Tracker'!$A757, 'Payment Tracker'!$C757="Refund") = TRUE, InvestorTable[[#This Row],[Investment Capital (₦)]] )</f>
        <v>#N/A</v>
      </c>
      <c r="E757" s="15"/>
      <c r="F757" s="14"/>
      <c r="G757" s="14"/>
      <c r="H757" s="14"/>
    </row>
    <row r="758" spans="1:8" x14ac:dyDescent="0.3">
      <c r="A758" s="13"/>
      <c r="B758" s="16">
        <f>IF($A758=InvestorTable[[#This Row],[Investor Tally '#]],InvestorTable[[#This Row],[Investor Name]], NA())</f>
        <v>0</v>
      </c>
      <c r="C758" s="14"/>
      <c r="D758" s="17" t="e" cm="1">
        <f t="array" ref="D758">_xlfn.IFS(AND(InvestorTable[[#This Row],[Investor Tally '#]] = 'Payment Tracker'!$A758, 'Payment Tracker'!$C758="Dividend") = TRUE, InvestorTable[[#This Row],[Monthly ROI (₦)]], AND(InvestorTable[[#This Row],[Investor Tally '#]] = 'Payment Tracker'!$A758, 'Payment Tracker'!$C758="Capital") = TRUE, InvestorTable[[#This Row],[Investment Capital (₦)]], AND(InvestorTable[[#This Row],[Investor Tally '#]] = 'Payment Tracker'!$A758, 'Payment Tracker'!$C758="Refund") = TRUE, InvestorTable[[#This Row],[Investment Capital (₦)]] )</f>
        <v>#N/A</v>
      </c>
      <c r="E758" s="15"/>
      <c r="F758" s="14"/>
      <c r="G758" s="14"/>
      <c r="H758" s="14"/>
    </row>
    <row r="759" spans="1:8" x14ac:dyDescent="0.3">
      <c r="A759" s="13"/>
      <c r="B759" s="16">
        <f>IF($A759=InvestorTable[[#This Row],[Investor Tally '#]],InvestorTable[[#This Row],[Investor Name]], NA())</f>
        <v>0</v>
      </c>
      <c r="C759" s="14"/>
      <c r="D759" s="17" t="e" cm="1">
        <f t="array" ref="D759">_xlfn.IFS(AND(InvestorTable[[#This Row],[Investor Tally '#]] = 'Payment Tracker'!$A759, 'Payment Tracker'!$C759="Dividend") = TRUE, InvestorTable[[#This Row],[Monthly ROI (₦)]], AND(InvestorTable[[#This Row],[Investor Tally '#]] = 'Payment Tracker'!$A759, 'Payment Tracker'!$C759="Capital") = TRUE, InvestorTable[[#This Row],[Investment Capital (₦)]], AND(InvestorTable[[#This Row],[Investor Tally '#]] = 'Payment Tracker'!$A759, 'Payment Tracker'!$C759="Refund") = TRUE, InvestorTable[[#This Row],[Investment Capital (₦)]] )</f>
        <v>#N/A</v>
      </c>
      <c r="E759" s="15"/>
      <c r="F759" s="14"/>
      <c r="G759" s="14"/>
      <c r="H759" s="14"/>
    </row>
    <row r="760" spans="1:8" x14ac:dyDescent="0.3">
      <c r="A760" s="13"/>
      <c r="B760" s="16">
        <f>IF($A760=InvestorTable[[#This Row],[Investor Tally '#]],InvestorTable[[#This Row],[Investor Name]], NA())</f>
        <v>0</v>
      </c>
      <c r="C760" s="14"/>
      <c r="D760" s="17" t="e" cm="1">
        <f t="array" ref="D760">_xlfn.IFS(AND(InvestorTable[[#This Row],[Investor Tally '#]] = 'Payment Tracker'!$A760, 'Payment Tracker'!$C760="Dividend") = TRUE, InvestorTable[[#This Row],[Monthly ROI (₦)]], AND(InvestorTable[[#This Row],[Investor Tally '#]] = 'Payment Tracker'!$A760, 'Payment Tracker'!$C760="Capital") = TRUE, InvestorTable[[#This Row],[Investment Capital (₦)]], AND(InvestorTable[[#This Row],[Investor Tally '#]] = 'Payment Tracker'!$A760, 'Payment Tracker'!$C760="Refund") = TRUE, InvestorTable[[#This Row],[Investment Capital (₦)]] )</f>
        <v>#N/A</v>
      </c>
      <c r="E760" s="15"/>
      <c r="F760" s="14"/>
      <c r="G760" s="14"/>
      <c r="H760" s="14"/>
    </row>
    <row r="761" spans="1:8" x14ac:dyDescent="0.3">
      <c r="A761" s="13"/>
      <c r="B761" s="16">
        <f>IF($A761=InvestorTable[[#This Row],[Investor Tally '#]],InvestorTable[[#This Row],[Investor Name]], NA())</f>
        <v>0</v>
      </c>
      <c r="C761" s="14"/>
      <c r="D761" s="17" t="e" cm="1">
        <f t="array" ref="D761">_xlfn.IFS(AND(InvestorTable[[#This Row],[Investor Tally '#]] = 'Payment Tracker'!$A761, 'Payment Tracker'!$C761="Dividend") = TRUE, InvestorTable[[#This Row],[Monthly ROI (₦)]], AND(InvestorTable[[#This Row],[Investor Tally '#]] = 'Payment Tracker'!$A761, 'Payment Tracker'!$C761="Capital") = TRUE, InvestorTable[[#This Row],[Investment Capital (₦)]], AND(InvestorTable[[#This Row],[Investor Tally '#]] = 'Payment Tracker'!$A761, 'Payment Tracker'!$C761="Refund") = TRUE, InvestorTable[[#This Row],[Investment Capital (₦)]] )</f>
        <v>#N/A</v>
      </c>
      <c r="E761" s="15"/>
      <c r="F761" s="14"/>
      <c r="G761" s="14"/>
      <c r="H761" s="14"/>
    </row>
    <row r="762" spans="1:8" x14ac:dyDescent="0.3">
      <c r="A762" s="13"/>
      <c r="B762" s="16">
        <f>IF($A762=InvestorTable[[#This Row],[Investor Tally '#]],InvestorTable[[#This Row],[Investor Name]], NA())</f>
        <v>0</v>
      </c>
      <c r="C762" s="14"/>
      <c r="D762" s="17" t="e" cm="1">
        <f t="array" ref="D762">_xlfn.IFS(AND(InvestorTable[[#This Row],[Investor Tally '#]] = 'Payment Tracker'!$A762, 'Payment Tracker'!$C762="Dividend") = TRUE, InvestorTable[[#This Row],[Monthly ROI (₦)]], AND(InvestorTable[[#This Row],[Investor Tally '#]] = 'Payment Tracker'!$A762, 'Payment Tracker'!$C762="Capital") = TRUE, InvestorTable[[#This Row],[Investment Capital (₦)]], AND(InvestorTable[[#This Row],[Investor Tally '#]] = 'Payment Tracker'!$A762, 'Payment Tracker'!$C762="Refund") = TRUE, InvestorTable[[#This Row],[Investment Capital (₦)]] )</f>
        <v>#N/A</v>
      </c>
      <c r="E762" s="15"/>
      <c r="F762" s="14"/>
      <c r="G762" s="14"/>
      <c r="H762" s="14"/>
    </row>
    <row r="763" spans="1:8" x14ac:dyDescent="0.3">
      <c r="A763" s="13"/>
      <c r="B763" s="16">
        <f>IF($A763=InvestorTable[[#This Row],[Investor Tally '#]],InvestorTable[[#This Row],[Investor Name]], NA())</f>
        <v>0</v>
      </c>
      <c r="C763" s="14"/>
      <c r="D763" s="17" t="e" cm="1">
        <f t="array" ref="D763">_xlfn.IFS(AND(InvestorTable[[#This Row],[Investor Tally '#]] = 'Payment Tracker'!$A763, 'Payment Tracker'!$C763="Dividend") = TRUE, InvestorTable[[#This Row],[Monthly ROI (₦)]], AND(InvestorTable[[#This Row],[Investor Tally '#]] = 'Payment Tracker'!$A763, 'Payment Tracker'!$C763="Capital") = TRUE, InvestorTable[[#This Row],[Investment Capital (₦)]], AND(InvestorTable[[#This Row],[Investor Tally '#]] = 'Payment Tracker'!$A763, 'Payment Tracker'!$C763="Refund") = TRUE, InvestorTable[[#This Row],[Investment Capital (₦)]] )</f>
        <v>#N/A</v>
      </c>
      <c r="E763" s="15"/>
      <c r="F763" s="14"/>
      <c r="G763" s="14"/>
      <c r="H763" s="14"/>
    </row>
    <row r="764" spans="1:8" x14ac:dyDescent="0.3">
      <c r="A764" s="13"/>
      <c r="B764" s="16">
        <f>IF($A764=InvestorTable[[#This Row],[Investor Tally '#]],InvestorTable[[#This Row],[Investor Name]], NA())</f>
        <v>0</v>
      </c>
      <c r="C764" s="14"/>
      <c r="D764" s="17" t="e" cm="1">
        <f t="array" ref="D764">_xlfn.IFS(AND(InvestorTable[[#This Row],[Investor Tally '#]] = 'Payment Tracker'!$A764, 'Payment Tracker'!$C764="Dividend") = TRUE, InvestorTable[[#This Row],[Monthly ROI (₦)]], AND(InvestorTable[[#This Row],[Investor Tally '#]] = 'Payment Tracker'!$A764, 'Payment Tracker'!$C764="Capital") = TRUE, InvestorTable[[#This Row],[Investment Capital (₦)]], AND(InvestorTable[[#This Row],[Investor Tally '#]] = 'Payment Tracker'!$A764, 'Payment Tracker'!$C764="Refund") = TRUE, InvestorTable[[#This Row],[Investment Capital (₦)]] )</f>
        <v>#N/A</v>
      </c>
      <c r="E764" s="15"/>
      <c r="F764" s="14"/>
      <c r="G764" s="14"/>
      <c r="H764" s="14"/>
    </row>
    <row r="765" spans="1:8" x14ac:dyDescent="0.3">
      <c r="A765" s="13"/>
      <c r="B765" s="16">
        <f>IF($A765=InvestorTable[[#This Row],[Investor Tally '#]],InvestorTable[[#This Row],[Investor Name]], NA())</f>
        <v>0</v>
      </c>
      <c r="C765" s="14"/>
      <c r="D765" s="17" t="e" cm="1">
        <f t="array" ref="D765">_xlfn.IFS(AND(InvestorTable[[#This Row],[Investor Tally '#]] = 'Payment Tracker'!$A765, 'Payment Tracker'!$C765="Dividend") = TRUE, InvestorTable[[#This Row],[Monthly ROI (₦)]], AND(InvestorTable[[#This Row],[Investor Tally '#]] = 'Payment Tracker'!$A765, 'Payment Tracker'!$C765="Capital") = TRUE, InvestorTable[[#This Row],[Investment Capital (₦)]], AND(InvestorTable[[#This Row],[Investor Tally '#]] = 'Payment Tracker'!$A765, 'Payment Tracker'!$C765="Refund") = TRUE, InvestorTable[[#This Row],[Investment Capital (₦)]] )</f>
        <v>#N/A</v>
      </c>
      <c r="E765" s="15"/>
      <c r="F765" s="14"/>
      <c r="G765" s="14"/>
      <c r="H765" s="14"/>
    </row>
    <row r="766" spans="1:8" x14ac:dyDescent="0.3">
      <c r="A766" s="13"/>
      <c r="B766" s="16">
        <f>IF($A766=InvestorTable[[#This Row],[Investor Tally '#]],InvestorTable[[#This Row],[Investor Name]], NA())</f>
        <v>0</v>
      </c>
      <c r="C766" s="14"/>
      <c r="D766" s="17" t="e" cm="1">
        <f t="array" ref="D766">_xlfn.IFS(AND(InvestorTable[[#This Row],[Investor Tally '#]] = 'Payment Tracker'!$A766, 'Payment Tracker'!$C766="Dividend") = TRUE, InvestorTable[[#This Row],[Monthly ROI (₦)]], AND(InvestorTable[[#This Row],[Investor Tally '#]] = 'Payment Tracker'!$A766, 'Payment Tracker'!$C766="Capital") = TRUE, InvestorTable[[#This Row],[Investment Capital (₦)]], AND(InvestorTable[[#This Row],[Investor Tally '#]] = 'Payment Tracker'!$A766, 'Payment Tracker'!$C766="Refund") = TRUE, InvestorTable[[#This Row],[Investment Capital (₦)]] )</f>
        <v>#N/A</v>
      </c>
      <c r="E766" s="15"/>
      <c r="F766" s="14"/>
      <c r="G766" s="14"/>
      <c r="H766" s="14"/>
    </row>
    <row r="767" spans="1:8" x14ac:dyDescent="0.3">
      <c r="A767" s="13"/>
      <c r="B767" s="16">
        <f>IF($A767=InvestorTable[[#This Row],[Investor Tally '#]],InvestorTable[[#This Row],[Investor Name]], NA())</f>
        <v>0</v>
      </c>
      <c r="C767" s="14"/>
      <c r="D767" s="17" t="e" cm="1">
        <f t="array" ref="D767">_xlfn.IFS(AND(InvestorTable[[#This Row],[Investor Tally '#]] = 'Payment Tracker'!$A767, 'Payment Tracker'!$C767="Dividend") = TRUE, InvestorTable[[#This Row],[Monthly ROI (₦)]], AND(InvestorTable[[#This Row],[Investor Tally '#]] = 'Payment Tracker'!$A767, 'Payment Tracker'!$C767="Capital") = TRUE, InvestorTable[[#This Row],[Investment Capital (₦)]], AND(InvestorTable[[#This Row],[Investor Tally '#]] = 'Payment Tracker'!$A767, 'Payment Tracker'!$C767="Refund") = TRUE, InvestorTable[[#This Row],[Investment Capital (₦)]] )</f>
        <v>#N/A</v>
      </c>
      <c r="E767" s="15"/>
      <c r="F767" s="14"/>
      <c r="G767" s="14"/>
      <c r="H767" s="14"/>
    </row>
    <row r="768" spans="1:8" x14ac:dyDescent="0.3">
      <c r="A768" s="13"/>
      <c r="B768" s="16">
        <f>IF($A768=InvestorTable[[#This Row],[Investor Tally '#]],InvestorTable[[#This Row],[Investor Name]], NA())</f>
        <v>0</v>
      </c>
      <c r="C768" s="14"/>
      <c r="D768" s="17" t="e" cm="1">
        <f t="array" ref="D768">_xlfn.IFS(AND(InvestorTable[[#This Row],[Investor Tally '#]] = 'Payment Tracker'!$A768, 'Payment Tracker'!$C768="Dividend") = TRUE, InvestorTable[[#This Row],[Monthly ROI (₦)]], AND(InvestorTable[[#This Row],[Investor Tally '#]] = 'Payment Tracker'!$A768, 'Payment Tracker'!$C768="Capital") = TRUE, InvestorTable[[#This Row],[Investment Capital (₦)]], AND(InvestorTable[[#This Row],[Investor Tally '#]] = 'Payment Tracker'!$A768, 'Payment Tracker'!$C768="Refund") = TRUE, InvestorTable[[#This Row],[Investment Capital (₦)]] )</f>
        <v>#N/A</v>
      </c>
      <c r="E768" s="15"/>
      <c r="F768" s="14"/>
      <c r="G768" s="14"/>
      <c r="H768" s="14"/>
    </row>
    <row r="769" spans="1:8" x14ac:dyDescent="0.3">
      <c r="A769" s="13"/>
      <c r="B769" s="16">
        <f>IF($A769=InvestorTable[[#This Row],[Investor Tally '#]],InvestorTable[[#This Row],[Investor Name]], NA())</f>
        <v>0</v>
      </c>
      <c r="C769" s="14"/>
      <c r="D769" s="17" t="e" cm="1">
        <f t="array" ref="D769">_xlfn.IFS(AND(InvestorTable[[#This Row],[Investor Tally '#]] = 'Payment Tracker'!$A769, 'Payment Tracker'!$C769="Dividend") = TRUE, InvestorTable[[#This Row],[Monthly ROI (₦)]], AND(InvestorTable[[#This Row],[Investor Tally '#]] = 'Payment Tracker'!$A769, 'Payment Tracker'!$C769="Capital") = TRUE, InvestorTable[[#This Row],[Investment Capital (₦)]], AND(InvestorTable[[#This Row],[Investor Tally '#]] = 'Payment Tracker'!$A769, 'Payment Tracker'!$C769="Refund") = TRUE, InvestorTable[[#This Row],[Investment Capital (₦)]] )</f>
        <v>#N/A</v>
      </c>
      <c r="E769" s="15"/>
      <c r="F769" s="14"/>
      <c r="G769" s="14"/>
      <c r="H769" s="14"/>
    </row>
    <row r="770" spans="1:8" x14ac:dyDescent="0.3">
      <c r="A770" s="13"/>
      <c r="B770" s="16">
        <f>IF($A770=InvestorTable[[#This Row],[Investor Tally '#]],InvestorTable[[#This Row],[Investor Name]], NA())</f>
        <v>0</v>
      </c>
      <c r="C770" s="14"/>
      <c r="D770" s="17" t="e" cm="1">
        <f t="array" ref="D770">_xlfn.IFS(AND(InvestorTable[[#This Row],[Investor Tally '#]] = 'Payment Tracker'!$A770, 'Payment Tracker'!$C770="Dividend") = TRUE, InvestorTable[[#This Row],[Monthly ROI (₦)]], AND(InvestorTable[[#This Row],[Investor Tally '#]] = 'Payment Tracker'!$A770, 'Payment Tracker'!$C770="Capital") = TRUE, InvestorTable[[#This Row],[Investment Capital (₦)]], AND(InvestorTable[[#This Row],[Investor Tally '#]] = 'Payment Tracker'!$A770, 'Payment Tracker'!$C770="Refund") = TRUE, InvestorTable[[#This Row],[Investment Capital (₦)]] )</f>
        <v>#N/A</v>
      </c>
      <c r="E770" s="15"/>
      <c r="F770" s="14"/>
      <c r="G770" s="14"/>
      <c r="H770" s="14"/>
    </row>
    <row r="771" spans="1:8" x14ac:dyDescent="0.3">
      <c r="A771" s="13"/>
      <c r="B771" s="16">
        <f>IF($A771=InvestorTable[[#This Row],[Investor Tally '#]],InvestorTable[[#This Row],[Investor Name]], NA())</f>
        <v>0</v>
      </c>
      <c r="C771" s="14"/>
      <c r="D771" s="17" t="e" cm="1">
        <f t="array" ref="D771">_xlfn.IFS(AND(InvestorTable[[#This Row],[Investor Tally '#]] = 'Payment Tracker'!$A771, 'Payment Tracker'!$C771="Dividend") = TRUE, InvestorTable[[#This Row],[Monthly ROI (₦)]], AND(InvestorTable[[#This Row],[Investor Tally '#]] = 'Payment Tracker'!$A771, 'Payment Tracker'!$C771="Capital") = TRUE, InvestorTable[[#This Row],[Investment Capital (₦)]], AND(InvestorTable[[#This Row],[Investor Tally '#]] = 'Payment Tracker'!$A771, 'Payment Tracker'!$C771="Refund") = TRUE, InvestorTable[[#This Row],[Investment Capital (₦)]] )</f>
        <v>#N/A</v>
      </c>
      <c r="E771" s="15"/>
      <c r="F771" s="14"/>
      <c r="G771" s="14"/>
      <c r="H771" s="14"/>
    </row>
    <row r="772" spans="1:8" x14ac:dyDescent="0.3">
      <c r="A772" s="13"/>
      <c r="B772" s="16">
        <f>IF($A772=InvestorTable[[#This Row],[Investor Tally '#]],InvestorTable[[#This Row],[Investor Name]], NA())</f>
        <v>0</v>
      </c>
      <c r="C772" s="14"/>
      <c r="D772" s="17" t="e" cm="1">
        <f t="array" ref="D772">_xlfn.IFS(AND(InvestorTable[[#This Row],[Investor Tally '#]] = 'Payment Tracker'!$A772, 'Payment Tracker'!$C772="Dividend") = TRUE, InvestorTable[[#This Row],[Monthly ROI (₦)]], AND(InvestorTable[[#This Row],[Investor Tally '#]] = 'Payment Tracker'!$A772, 'Payment Tracker'!$C772="Capital") = TRUE, InvestorTable[[#This Row],[Investment Capital (₦)]], AND(InvestorTable[[#This Row],[Investor Tally '#]] = 'Payment Tracker'!$A772, 'Payment Tracker'!$C772="Refund") = TRUE, InvestorTable[[#This Row],[Investment Capital (₦)]] )</f>
        <v>#N/A</v>
      </c>
      <c r="E772" s="15"/>
      <c r="F772" s="14"/>
      <c r="G772" s="14"/>
      <c r="H772" s="14"/>
    </row>
    <row r="773" spans="1:8" x14ac:dyDescent="0.3">
      <c r="A773" s="13"/>
      <c r="B773" s="16">
        <f>IF($A773=InvestorTable[[#This Row],[Investor Tally '#]],InvestorTable[[#This Row],[Investor Name]], NA())</f>
        <v>0</v>
      </c>
      <c r="C773" s="14"/>
      <c r="D773" s="17" t="e" cm="1">
        <f t="array" ref="D773">_xlfn.IFS(AND(InvestorTable[[#This Row],[Investor Tally '#]] = 'Payment Tracker'!$A773, 'Payment Tracker'!$C773="Dividend") = TRUE, InvestorTable[[#This Row],[Monthly ROI (₦)]], AND(InvestorTable[[#This Row],[Investor Tally '#]] = 'Payment Tracker'!$A773, 'Payment Tracker'!$C773="Capital") = TRUE, InvestorTable[[#This Row],[Investment Capital (₦)]], AND(InvestorTable[[#This Row],[Investor Tally '#]] = 'Payment Tracker'!$A773, 'Payment Tracker'!$C773="Refund") = TRUE, InvestorTable[[#This Row],[Investment Capital (₦)]] )</f>
        <v>#N/A</v>
      </c>
      <c r="E773" s="15"/>
      <c r="F773" s="14"/>
      <c r="G773" s="14"/>
      <c r="H773" s="14"/>
    </row>
    <row r="774" spans="1:8" x14ac:dyDescent="0.3">
      <c r="A774" s="13"/>
      <c r="B774" s="16">
        <f>IF($A774=InvestorTable[[#This Row],[Investor Tally '#]],InvestorTable[[#This Row],[Investor Name]], NA())</f>
        <v>0</v>
      </c>
      <c r="C774" s="14"/>
      <c r="D774" s="17" t="e" cm="1">
        <f t="array" ref="D774">_xlfn.IFS(AND(InvestorTable[[#This Row],[Investor Tally '#]] = 'Payment Tracker'!$A774, 'Payment Tracker'!$C774="Dividend") = TRUE, InvestorTable[[#This Row],[Monthly ROI (₦)]], AND(InvestorTable[[#This Row],[Investor Tally '#]] = 'Payment Tracker'!$A774, 'Payment Tracker'!$C774="Capital") = TRUE, InvestorTable[[#This Row],[Investment Capital (₦)]], AND(InvestorTable[[#This Row],[Investor Tally '#]] = 'Payment Tracker'!$A774, 'Payment Tracker'!$C774="Refund") = TRUE, InvestorTable[[#This Row],[Investment Capital (₦)]] )</f>
        <v>#N/A</v>
      </c>
      <c r="E774" s="15"/>
      <c r="F774" s="14"/>
      <c r="G774" s="14"/>
      <c r="H774" s="14"/>
    </row>
    <row r="775" spans="1:8" x14ac:dyDescent="0.3">
      <c r="A775" s="13"/>
      <c r="B775" s="16">
        <f>IF($A775=InvestorTable[[#This Row],[Investor Tally '#]],InvestorTable[[#This Row],[Investor Name]], NA())</f>
        <v>0</v>
      </c>
      <c r="C775" s="14"/>
      <c r="D775" s="17" t="e" cm="1">
        <f t="array" ref="D775">_xlfn.IFS(AND(InvestorTable[[#This Row],[Investor Tally '#]] = 'Payment Tracker'!$A775, 'Payment Tracker'!$C775="Dividend") = TRUE, InvestorTable[[#This Row],[Monthly ROI (₦)]], AND(InvestorTable[[#This Row],[Investor Tally '#]] = 'Payment Tracker'!$A775, 'Payment Tracker'!$C775="Capital") = TRUE, InvestorTable[[#This Row],[Investment Capital (₦)]], AND(InvestorTable[[#This Row],[Investor Tally '#]] = 'Payment Tracker'!$A775, 'Payment Tracker'!$C775="Refund") = TRUE, InvestorTable[[#This Row],[Investment Capital (₦)]] )</f>
        <v>#N/A</v>
      </c>
      <c r="E775" s="15"/>
      <c r="F775" s="14"/>
      <c r="G775" s="14"/>
      <c r="H775" s="14"/>
    </row>
    <row r="776" spans="1:8" x14ac:dyDescent="0.3">
      <c r="A776" s="13"/>
      <c r="B776" s="16">
        <f>IF($A776=InvestorTable[[#This Row],[Investor Tally '#]],InvestorTable[[#This Row],[Investor Name]], NA())</f>
        <v>0</v>
      </c>
      <c r="C776" s="14"/>
      <c r="D776" s="17" t="e" cm="1">
        <f t="array" ref="D776">_xlfn.IFS(AND(InvestorTable[[#This Row],[Investor Tally '#]] = 'Payment Tracker'!$A776, 'Payment Tracker'!$C776="Dividend") = TRUE, InvestorTable[[#This Row],[Monthly ROI (₦)]], AND(InvestorTable[[#This Row],[Investor Tally '#]] = 'Payment Tracker'!$A776, 'Payment Tracker'!$C776="Capital") = TRUE, InvestorTable[[#This Row],[Investment Capital (₦)]], AND(InvestorTable[[#This Row],[Investor Tally '#]] = 'Payment Tracker'!$A776, 'Payment Tracker'!$C776="Refund") = TRUE, InvestorTable[[#This Row],[Investment Capital (₦)]] )</f>
        <v>#N/A</v>
      </c>
      <c r="E776" s="15"/>
      <c r="F776" s="14"/>
      <c r="G776" s="14"/>
      <c r="H776" s="14"/>
    </row>
    <row r="777" spans="1:8" x14ac:dyDescent="0.3">
      <c r="A777" s="13"/>
      <c r="B777" s="16">
        <f>IF($A777=InvestorTable[[#This Row],[Investor Tally '#]],InvestorTable[[#This Row],[Investor Name]], NA())</f>
        <v>0</v>
      </c>
      <c r="C777" s="14"/>
      <c r="D777" s="17" t="e" cm="1">
        <f t="array" ref="D777">_xlfn.IFS(AND(InvestorTable[[#This Row],[Investor Tally '#]] = 'Payment Tracker'!$A777, 'Payment Tracker'!$C777="Dividend") = TRUE, InvestorTable[[#This Row],[Monthly ROI (₦)]], AND(InvestorTable[[#This Row],[Investor Tally '#]] = 'Payment Tracker'!$A777, 'Payment Tracker'!$C777="Capital") = TRUE, InvestorTable[[#This Row],[Investment Capital (₦)]], AND(InvestorTable[[#This Row],[Investor Tally '#]] = 'Payment Tracker'!$A777, 'Payment Tracker'!$C777="Refund") = TRUE, InvestorTable[[#This Row],[Investment Capital (₦)]] )</f>
        <v>#N/A</v>
      </c>
      <c r="E777" s="15"/>
      <c r="F777" s="14"/>
      <c r="G777" s="14"/>
      <c r="H777" s="14"/>
    </row>
    <row r="778" spans="1:8" x14ac:dyDescent="0.3">
      <c r="A778" s="13"/>
      <c r="B778" s="16">
        <f>IF($A778=InvestorTable[[#This Row],[Investor Tally '#]],InvestorTable[[#This Row],[Investor Name]], NA())</f>
        <v>0</v>
      </c>
      <c r="C778" s="14"/>
      <c r="D778" s="17" t="e" cm="1">
        <f t="array" ref="D778">_xlfn.IFS(AND(InvestorTable[[#This Row],[Investor Tally '#]] = 'Payment Tracker'!$A778, 'Payment Tracker'!$C778="Dividend") = TRUE, InvestorTable[[#This Row],[Monthly ROI (₦)]], AND(InvestorTable[[#This Row],[Investor Tally '#]] = 'Payment Tracker'!$A778, 'Payment Tracker'!$C778="Capital") = TRUE, InvestorTable[[#This Row],[Investment Capital (₦)]], AND(InvestorTable[[#This Row],[Investor Tally '#]] = 'Payment Tracker'!$A778, 'Payment Tracker'!$C778="Refund") = TRUE, InvestorTable[[#This Row],[Investment Capital (₦)]] )</f>
        <v>#N/A</v>
      </c>
      <c r="E778" s="15"/>
      <c r="F778" s="14"/>
      <c r="G778" s="14"/>
      <c r="H778" s="14"/>
    </row>
    <row r="779" spans="1:8" x14ac:dyDescent="0.3">
      <c r="A779" s="13"/>
      <c r="B779" s="16">
        <f>IF($A779=InvestorTable[[#This Row],[Investor Tally '#]],InvestorTable[[#This Row],[Investor Name]], NA())</f>
        <v>0</v>
      </c>
      <c r="C779" s="14"/>
      <c r="D779" s="17" t="e" cm="1">
        <f t="array" ref="D779">_xlfn.IFS(AND(InvestorTable[[#This Row],[Investor Tally '#]] = 'Payment Tracker'!$A779, 'Payment Tracker'!$C779="Dividend") = TRUE, InvestorTable[[#This Row],[Monthly ROI (₦)]], AND(InvestorTable[[#This Row],[Investor Tally '#]] = 'Payment Tracker'!$A779, 'Payment Tracker'!$C779="Capital") = TRUE, InvestorTable[[#This Row],[Investment Capital (₦)]], AND(InvestorTable[[#This Row],[Investor Tally '#]] = 'Payment Tracker'!$A779, 'Payment Tracker'!$C779="Refund") = TRUE, InvestorTable[[#This Row],[Investment Capital (₦)]] )</f>
        <v>#N/A</v>
      </c>
      <c r="E779" s="15"/>
      <c r="F779" s="14"/>
      <c r="G779" s="14"/>
      <c r="H779" s="14"/>
    </row>
    <row r="780" spans="1:8" x14ac:dyDescent="0.3">
      <c r="A780" s="13"/>
      <c r="B780" s="16">
        <f>IF($A780=InvestorTable[[#This Row],[Investor Tally '#]],InvestorTable[[#This Row],[Investor Name]], NA())</f>
        <v>0</v>
      </c>
      <c r="C780" s="14"/>
      <c r="D780" s="17" t="e" cm="1">
        <f t="array" ref="D780">_xlfn.IFS(AND(InvestorTable[[#This Row],[Investor Tally '#]] = 'Payment Tracker'!$A780, 'Payment Tracker'!$C780="Dividend") = TRUE, InvestorTable[[#This Row],[Monthly ROI (₦)]], AND(InvestorTable[[#This Row],[Investor Tally '#]] = 'Payment Tracker'!$A780, 'Payment Tracker'!$C780="Capital") = TRUE, InvestorTable[[#This Row],[Investment Capital (₦)]], AND(InvestorTable[[#This Row],[Investor Tally '#]] = 'Payment Tracker'!$A780, 'Payment Tracker'!$C780="Refund") = TRUE, InvestorTable[[#This Row],[Investment Capital (₦)]] )</f>
        <v>#N/A</v>
      </c>
      <c r="E780" s="15"/>
      <c r="F780" s="14"/>
      <c r="G780" s="14"/>
      <c r="H780" s="14"/>
    </row>
    <row r="781" spans="1:8" x14ac:dyDescent="0.3">
      <c r="A781" s="13"/>
      <c r="B781" s="16">
        <f>IF($A781=InvestorTable[[#This Row],[Investor Tally '#]],InvestorTable[[#This Row],[Investor Name]], NA())</f>
        <v>0</v>
      </c>
      <c r="C781" s="14"/>
      <c r="D781" s="17" t="e" cm="1">
        <f t="array" ref="D781">_xlfn.IFS(AND(InvestorTable[[#This Row],[Investor Tally '#]] = 'Payment Tracker'!$A781, 'Payment Tracker'!$C781="Dividend") = TRUE, InvestorTable[[#This Row],[Monthly ROI (₦)]], AND(InvestorTable[[#This Row],[Investor Tally '#]] = 'Payment Tracker'!$A781, 'Payment Tracker'!$C781="Capital") = TRUE, InvestorTable[[#This Row],[Investment Capital (₦)]], AND(InvestorTable[[#This Row],[Investor Tally '#]] = 'Payment Tracker'!$A781, 'Payment Tracker'!$C781="Refund") = TRUE, InvestorTable[[#This Row],[Investment Capital (₦)]] )</f>
        <v>#N/A</v>
      </c>
      <c r="E781" s="15"/>
      <c r="F781" s="14"/>
      <c r="G781" s="14"/>
      <c r="H781" s="14"/>
    </row>
    <row r="782" spans="1:8" x14ac:dyDescent="0.3">
      <c r="A782" s="13"/>
      <c r="B782" s="16">
        <f>IF($A782=InvestorTable[[#This Row],[Investor Tally '#]],InvestorTable[[#This Row],[Investor Name]], NA())</f>
        <v>0</v>
      </c>
      <c r="C782" s="14"/>
      <c r="D782" s="17" t="e" cm="1">
        <f t="array" ref="D782">_xlfn.IFS(AND(InvestorTable[[#This Row],[Investor Tally '#]] = 'Payment Tracker'!$A782, 'Payment Tracker'!$C782="Dividend") = TRUE, InvestorTable[[#This Row],[Monthly ROI (₦)]], AND(InvestorTable[[#This Row],[Investor Tally '#]] = 'Payment Tracker'!$A782, 'Payment Tracker'!$C782="Capital") = TRUE, InvestorTable[[#This Row],[Investment Capital (₦)]], AND(InvestorTable[[#This Row],[Investor Tally '#]] = 'Payment Tracker'!$A782, 'Payment Tracker'!$C782="Refund") = TRUE, InvestorTable[[#This Row],[Investment Capital (₦)]] )</f>
        <v>#N/A</v>
      </c>
      <c r="E782" s="15"/>
      <c r="F782" s="14"/>
      <c r="G782" s="14"/>
      <c r="H782" s="14"/>
    </row>
    <row r="783" spans="1:8" x14ac:dyDescent="0.3">
      <c r="A783" s="13"/>
      <c r="B783" s="16">
        <f>IF($A783=InvestorTable[[#This Row],[Investor Tally '#]],InvestorTable[[#This Row],[Investor Name]], NA())</f>
        <v>0</v>
      </c>
      <c r="C783" s="14"/>
      <c r="D783" s="17" t="e" cm="1">
        <f t="array" ref="D783">_xlfn.IFS(AND(InvestorTable[[#This Row],[Investor Tally '#]] = 'Payment Tracker'!$A783, 'Payment Tracker'!$C783="Dividend") = TRUE, InvestorTable[[#This Row],[Monthly ROI (₦)]], AND(InvestorTable[[#This Row],[Investor Tally '#]] = 'Payment Tracker'!$A783, 'Payment Tracker'!$C783="Capital") = TRUE, InvestorTable[[#This Row],[Investment Capital (₦)]], AND(InvestorTable[[#This Row],[Investor Tally '#]] = 'Payment Tracker'!$A783, 'Payment Tracker'!$C783="Refund") = TRUE, InvestorTable[[#This Row],[Investment Capital (₦)]] )</f>
        <v>#N/A</v>
      </c>
      <c r="E783" s="15"/>
      <c r="F783" s="14"/>
      <c r="G783" s="14"/>
      <c r="H783" s="14"/>
    </row>
    <row r="784" spans="1:8" x14ac:dyDescent="0.3">
      <c r="A784" s="13"/>
      <c r="B784" s="16">
        <f>IF($A784=InvestorTable[[#This Row],[Investor Tally '#]],InvestorTable[[#This Row],[Investor Name]], NA())</f>
        <v>0</v>
      </c>
      <c r="C784" s="14"/>
      <c r="D784" s="17" t="e" cm="1">
        <f t="array" ref="D784">_xlfn.IFS(AND(InvestorTable[[#This Row],[Investor Tally '#]] = 'Payment Tracker'!$A784, 'Payment Tracker'!$C784="Dividend") = TRUE, InvestorTable[[#This Row],[Monthly ROI (₦)]], AND(InvestorTable[[#This Row],[Investor Tally '#]] = 'Payment Tracker'!$A784, 'Payment Tracker'!$C784="Capital") = TRUE, InvestorTable[[#This Row],[Investment Capital (₦)]], AND(InvestorTable[[#This Row],[Investor Tally '#]] = 'Payment Tracker'!$A784, 'Payment Tracker'!$C784="Refund") = TRUE, InvestorTable[[#This Row],[Investment Capital (₦)]] )</f>
        <v>#N/A</v>
      </c>
      <c r="E784" s="15"/>
      <c r="F784" s="14"/>
      <c r="G784" s="14"/>
      <c r="H784" s="14"/>
    </row>
    <row r="785" spans="1:8" x14ac:dyDescent="0.3">
      <c r="A785" s="13"/>
      <c r="B785" s="16">
        <f>IF($A785=InvestorTable[[#This Row],[Investor Tally '#]],InvestorTable[[#This Row],[Investor Name]], NA())</f>
        <v>0</v>
      </c>
      <c r="C785" s="14"/>
      <c r="D785" s="17" t="e" cm="1">
        <f t="array" ref="D785">_xlfn.IFS(AND(InvestorTable[[#This Row],[Investor Tally '#]] = 'Payment Tracker'!$A785, 'Payment Tracker'!$C785="Dividend") = TRUE, InvestorTable[[#This Row],[Monthly ROI (₦)]], AND(InvestorTable[[#This Row],[Investor Tally '#]] = 'Payment Tracker'!$A785, 'Payment Tracker'!$C785="Capital") = TRUE, InvestorTable[[#This Row],[Investment Capital (₦)]], AND(InvestorTable[[#This Row],[Investor Tally '#]] = 'Payment Tracker'!$A785, 'Payment Tracker'!$C785="Refund") = TRUE, InvestorTable[[#This Row],[Investment Capital (₦)]] )</f>
        <v>#N/A</v>
      </c>
      <c r="E785" s="15"/>
      <c r="F785" s="14"/>
      <c r="G785" s="14"/>
      <c r="H785" s="14"/>
    </row>
    <row r="786" spans="1:8" x14ac:dyDescent="0.3">
      <c r="A786" s="13"/>
      <c r="B786" s="16">
        <f>IF($A786=InvestorTable[[#This Row],[Investor Tally '#]],InvestorTable[[#This Row],[Investor Name]], NA())</f>
        <v>0</v>
      </c>
      <c r="C786" s="14"/>
      <c r="D786" s="17" t="e" cm="1">
        <f t="array" ref="D786">_xlfn.IFS(AND(InvestorTable[[#This Row],[Investor Tally '#]] = 'Payment Tracker'!$A786, 'Payment Tracker'!$C786="Dividend") = TRUE, InvestorTable[[#This Row],[Monthly ROI (₦)]], AND(InvestorTable[[#This Row],[Investor Tally '#]] = 'Payment Tracker'!$A786, 'Payment Tracker'!$C786="Capital") = TRUE, InvestorTable[[#This Row],[Investment Capital (₦)]], AND(InvestorTable[[#This Row],[Investor Tally '#]] = 'Payment Tracker'!$A786, 'Payment Tracker'!$C786="Refund") = TRUE, InvestorTable[[#This Row],[Investment Capital (₦)]] )</f>
        <v>#N/A</v>
      </c>
      <c r="E786" s="15"/>
      <c r="F786" s="14"/>
      <c r="G786" s="14"/>
      <c r="H786" s="14"/>
    </row>
    <row r="787" spans="1:8" x14ac:dyDescent="0.3">
      <c r="A787" s="13"/>
      <c r="B787" s="16">
        <f>IF($A787=InvestorTable[[#This Row],[Investor Tally '#]],InvestorTable[[#This Row],[Investor Name]], NA())</f>
        <v>0</v>
      </c>
      <c r="C787" s="14"/>
      <c r="D787" s="17" t="e" cm="1">
        <f t="array" ref="D787">_xlfn.IFS(AND(InvestorTable[[#This Row],[Investor Tally '#]] = 'Payment Tracker'!$A787, 'Payment Tracker'!$C787="Dividend") = TRUE, InvestorTable[[#This Row],[Monthly ROI (₦)]], AND(InvestorTable[[#This Row],[Investor Tally '#]] = 'Payment Tracker'!$A787, 'Payment Tracker'!$C787="Capital") = TRUE, InvestorTable[[#This Row],[Investment Capital (₦)]], AND(InvestorTable[[#This Row],[Investor Tally '#]] = 'Payment Tracker'!$A787, 'Payment Tracker'!$C787="Refund") = TRUE, InvestorTable[[#This Row],[Investment Capital (₦)]] )</f>
        <v>#N/A</v>
      </c>
      <c r="E787" s="15"/>
      <c r="F787" s="14"/>
      <c r="G787" s="14"/>
      <c r="H787" s="14"/>
    </row>
    <row r="788" spans="1:8" x14ac:dyDescent="0.3">
      <c r="A788" s="13"/>
      <c r="B788" s="16">
        <f>IF($A788=InvestorTable[[#This Row],[Investor Tally '#]],InvestorTable[[#This Row],[Investor Name]], NA())</f>
        <v>0</v>
      </c>
      <c r="C788" s="14"/>
      <c r="D788" s="17" t="e" cm="1">
        <f t="array" ref="D788">_xlfn.IFS(AND(InvestorTable[[#This Row],[Investor Tally '#]] = 'Payment Tracker'!$A788, 'Payment Tracker'!$C788="Dividend") = TRUE, InvestorTable[[#This Row],[Monthly ROI (₦)]], AND(InvestorTable[[#This Row],[Investor Tally '#]] = 'Payment Tracker'!$A788, 'Payment Tracker'!$C788="Capital") = TRUE, InvestorTable[[#This Row],[Investment Capital (₦)]], AND(InvestorTable[[#This Row],[Investor Tally '#]] = 'Payment Tracker'!$A788, 'Payment Tracker'!$C788="Refund") = TRUE, InvestorTable[[#This Row],[Investment Capital (₦)]] )</f>
        <v>#N/A</v>
      </c>
      <c r="E788" s="15"/>
      <c r="F788" s="14"/>
      <c r="G788" s="14"/>
      <c r="H788" s="14"/>
    </row>
    <row r="789" spans="1:8" x14ac:dyDescent="0.3">
      <c r="A789" s="13"/>
      <c r="B789" s="16">
        <f>IF($A789=InvestorTable[[#This Row],[Investor Tally '#]],InvestorTable[[#This Row],[Investor Name]], NA())</f>
        <v>0</v>
      </c>
      <c r="C789" s="14"/>
      <c r="D789" s="17" t="e" cm="1">
        <f t="array" ref="D789">_xlfn.IFS(AND(InvestorTable[[#This Row],[Investor Tally '#]] = 'Payment Tracker'!$A789, 'Payment Tracker'!$C789="Dividend") = TRUE, InvestorTable[[#This Row],[Monthly ROI (₦)]], AND(InvestorTable[[#This Row],[Investor Tally '#]] = 'Payment Tracker'!$A789, 'Payment Tracker'!$C789="Capital") = TRUE, InvestorTable[[#This Row],[Investment Capital (₦)]], AND(InvestorTable[[#This Row],[Investor Tally '#]] = 'Payment Tracker'!$A789, 'Payment Tracker'!$C789="Refund") = TRUE, InvestorTable[[#This Row],[Investment Capital (₦)]] )</f>
        <v>#N/A</v>
      </c>
      <c r="E789" s="15"/>
      <c r="F789" s="14"/>
      <c r="G789" s="14"/>
      <c r="H789" s="14"/>
    </row>
    <row r="790" spans="1:8" x14ac:dyDescent="0.3">
      <c r="A790" s="13"/>
      <c r="B790" s="16">
        <f>IF($A790=InvestorTable[[#This Row],[Investor Tally '#]],InvestorTable[[#This Row],[Investor Name]], NA())</f>
        <v>0</v>
      </c>
      <c r="C790" s="14"/>
      <c r="D790" s="17" t="e" cm="1">
        <f t="array" ref="D790">_xlfn.IFS(AND(InvestorTable[[#This Row],[Investor Tally '#]] = 'Payment Tracker'!$A790, 'Payment Tracker'!$C790="Dividend") = TRUE, InvestorTable[[#This Row],[Monthly ROI (₦)]], AND(InvestorTable[[#This Row],[Investor Tally '#]] = 'Payment Tracker'!$A790, 'Payment Tracker'!$C790="Capital") = TRUE, InvestorTable[[#This Row],[Investment Capital (₦)]], AND(InvestorTable[[#This Row],[Investor Tally '#]] = 'Payment Tracker'!$A790, 'Payment Tracker'!$C790="Refund") = TRUE, InvestorTable[[#This Row],[Investment Capital (₦)]] )</f>
        <v>#N/A</v>
      </c>
      <c r="E790" s="15"/>
      <c r="F790" s="14"/>
      <c r="G790" s="14"/>
      <c r="H790" s="14"/>
    </row>
    <row r="791" spans="1:8" x14ac:dyDescent="0.3">
      <c r="A791" s="13"/>
      <c r="B791" s="16">
        <f>IF($A791=InvestorTable[[#This Row],[Investor Tally '#]],InvestorTable[[#This Row],[Investor Name]], NA())</f>
        <v>0</v>
      </c>
      <c r="C791" s="14"/>
      <c r="D791" s="17" t="e" cm="1">
        <f t="array" ref="D791">_xlfn.IFS(AND(InvestorTable[[#This Row],[Investor Tally '#]] = 'Payment Tracker'!$A791, 'Payment Tracker'!$C791="Dividend") = TRUE, InvestorTable[[#This Row],[Monthly ROI (₦)]], AND(InvestorTable[[#This Row],[Investor Tally '#]] = 'Payment Tracker'!$A791, 'Payment Tracker'!$C791="Capital") = TRUE, InvestorTable[[#This Row],[Investment Capital (₦)]], AND(InvestorTable[[#This Row],[Investor Tally '#]] = 'Payment Tracker'!$A791, 'Payment Tracker'!$C791="Refund") = TRUE, InvestorTable[[#This Row],[Investment Capital (₦)]] )</f>
        <v>#N/A</v>
      </c>
      <c r="E791" s="15"/>
      <c r="F791" s="14"/>
      <c r="G791" s="14"/>
      <c r="H791" s="14"/>
    </row>
    <row r="792" spans="1:8" x14ac:dyDescent="0.3">
      <c r="A792" s="13"/>
      <c r="B792" s="16">
        <f>IF($A792=InvestorTable[[#This Row],[Investor Tally '#]],InvestorTable[[#This Row],[Investor Name]], NA())</f>
        <v>0</v>
      </c>
      <c r="C792" s="14"/>
      <c r="D792" s="17" t="e" cm="1">
        <f t="array" ref="D792">_xlfn.IFS(AND(InvestorTable[[#This Row],[Investor Tally '#]] = 'Payment Tracker'!$A792, 'Payment Tracker'!$C792="Dividend") = TRUE, InvestorTable[[#This Row],[Monthly ROI (₦)]], AND(InvestorTable[[#This Row],[Investor Tally '#]] = 'Payment Tracker'!$A792, 'Payment Tracker'!$C792="Capital") = TRUE, InvestorTable[[#This Row],[Investment Capital (₦)]], AND(InvestorTable[[#This Row],[Investor Tally '#]] = 'Payment Tracker'!$A792, 'Payment Tracker'!$C792="Refund") = TRUE, InvestorTable[[#This Row],[Investment Capital (₦)]] )</f>
        <v>#N/A</v>
      </c>
      <c r="E792" s="15"/>
      <c r="F792" s="14"/>
      <c r="G792" s="14"/>
      <c r="H792" s="14"/>
    </row>
    <row r="793" spans="1:8" x14ac:dyDescent="0.3">
      <c r="A793" s="13"/>
      <c r="B793" s="16">
        <f>IF($A793=InvestorTable[[#This Row],[Investor Tally '#]],InvestorTable[[#This Row],[Investor Name]], NA())</f>
        <v>0</v>
      </c>
      <c r="C793" s="14"/>
      <c r="D793" s="17" t="e" cm="1">
        <f t="array" ref="D793">_xlfn.IFS(AND(InvestorTable[[#This Row],[Investor Tally '#]] = 'Payment Tracker'!$A793, 'Payment Tracker'!$C793="Dividend") = TRUE, InvestorTable[[#This Row],[Monthly ROI (₦)]], AND(InvestorTable[[#This Row],[Investor Tally '#]] = 'Payment Tracker'!$A793, 'Payment Tracker'!$C793="Capital") = TRUE, InvestorTable[[#This Row],[Investment Capital (₦)]], AND(InvestorTable[[#This Row],[Investor Tally '#]] = 'Payment Tracker'!$A793, 'Payment Tracker'!$C793="Refund") = TRUE, InvestorTable[[#This Row],[Investment Capital (₦)]] )</f>
        <v>#N/A</v>
      </c>
      <c r="E793" s="15"/>
      <c r="F793" s="14"/>
      <c r="G793" s="14"/>
      <c r="H793" s="14"/>
    </row>
    <row r="794" spans="1:8" x14ac:dyDescent="0.3">
      <c r="A794" s="13"/>
      <c r="B794" s="16">
        <f>IF($A794=InvestorTable[[#This Row],[Investor Tally '#]],InvestorTable[[#This Row],[Investor Name]], NA())</f>
        <v>0</v>
      </c>
      <c r="C794" s="14"/>
      <c r="D794" s="17" t="e" cm="1">
        <f t="array" ref="D794">_xlfn.IFS(AND(InvestorTable[[#This Row],[Investor Tally '#]] = 'Payment Tracker'!$A794, 'Payment Tracker'!$C794="Dividend") = TRUE, InvestorTable[[#This Row],[Monthly ROI (₦)]], AND(InvestorTable[[#This Row],[Investor Tally '#]] = 'Payment Tracker'!$A794, 'Payment Tracker'!$C794="Capital") = TRUE, InvestorTable[[#This Row],[Investment Capital (₦)]], AND(InvestorTable[[#This Row],[Investor Tally '#]] = 'Payment Tracker'!$A794, 'Payment Tracker'!$C794="Refund") = TRUE, InvestorTable[[#This Row],[Investment Capital (₦)]] )</f>
        <v>#N/A</v>
      </c>
      <c r="E794" s="15"/>
      <c r="F794" s="14"/>
      <c r="G794" s="14"/>
      <c r="H794" s="14"/>
    </row>
    <row r="795" spans="1:8" x14ac:dyDescent="0.3">
      <c r="A795" s="13"/>
      <c r="B795" s="16">
        <f>IF($A795=InvestorTable[[#This Row],[Investor Tally '#]],InvestorTable[[#This Row],[Investor Name]], NA())</f>
        <v>0</v>
      </c>
      <c r="C795" s="14"/>
      <c r="D795" s="17" t="e" cm="1">
        <f t="array" ref="D795">_xlfn.IFS(AND(InvestorTable[[#This Row],[Investor Tally '#]] = 'Payment Tracker'!$A795, 'Payment Tracker'!$C795="Dividend") = TRUE, InvestorTable[[#This Row],[Monthly ROI (₦)]], AND(InvestorTable[[#This Row],[Investor Tally '#]] = 'Payment Tracker'!$A795, 'Payment Tracker'!$C795="Capital") = TRUE, InvestorTable[[#This Row],[Investment Capital (₦)]], AND(InvestorTable[[#This Row],[Investor Tally '#]] = 'Payment Tracker'!$A795, 'Payment Tracker'!$C795="Refund") = TRUE, InvestorTable[[#This Row],[Investment Capital (₦)]] )</f>
        <v>#N/A</v>
      </c>
      <c r="E795" s="15"/>
      <c r="F795" s="14"/>
      <c r="G795" s="14"/>
      <c r="H795" s="14"/>
    </row>
    <row r="796" spans="1:8" x14ac:dyDescent="0.3">
      <c r="A796" s="13"/>
      <c r="B796" s="16">
        <f>IF($A796=InvestorTable[[#This Row],[Investor Tally '#]],InvestorTable[[#This Row],[Investor Name]], NA())</f>
        <v>0</v>
      </c>
      <c r="C796" s="14"/>
      <c r="D796" s="17" t="e" cm="1">
        <f t="array" ref="D796">_xlfn.IFS(AND(InvestorTable[[#This Row],[Investor Tally '#]] = 'Payment Tracker'!$A796, 'Payment Tracker'!$C796="Dividend") = TRUE, InvestorTable[[#This Row],[Monthly ROI (₦)]], AND(InvestorTable[[#This Row],[Investor Tally '#]] = 'Payment Tracker'!$A796, 'Payment Tracker'!$C796="Capital") = TRUE, InvestorTable[[#This Row],[Investment Capital (₦)]], AND(InvestorTable[[#This Row],[Investor Tally '#]] = 'Payment Tracker'!$A796, 'Payment Tracker'!$C796="Refund") = TRUE, InvestorTable[[#This Row],[Investment Capital (₦)]] )</f>
        <v>#N/A</v>
      </c>
      <c r="E796" s="15"/>
      <c r="F796" s="14"/>
      <c r="G796" s="14"/>
      <c r="H796" s="14"/>
    </row>
    <row r="797" spans="1:8" x14ac:dyDescent="0.3">
      <c r="A797" s="13"/>
      <c r="B797" s="16">
        <f>IF($A797=InvestorTable[[#This Row],[Investor Tally '#]],InvestorTable[[#This Row],[Investor Name]], NA())</f>
        <v>0</v>
      </c>
      <c r="C797" s="14"/>
      <c r="D797" s="17" t="e" cm="1">
        <f t="array" ref="D797">_xlfn.IFS(AND(InvestorTable[[#This Row],[Investor Tally '#]] = 'Payment Tracker'!$A797, 'Payment Tracker'!$C797="Dividend") = TRUE, InvestorTable[[#This Row],[Monthly ROI (₦)]], AND(InvestorTable[[#This Row],[Investor Tally '#]] = 'Payment Tracker'!$A797, 'Payment Tracker'!$C797="Capital") = TRUE, InvestorTable[[#This Row],[Investment Capital (₦)]], AND(InvestorTable[[#This Row],[Investor Tally '#]] = 'Payment Tracker'!$A797, 'Payment Tracker'!$C797="Refund") = TRUE, InvestorTable[[#This Row],[Investment Capital (₦)]] )</f>
        <v>#N/A</v>
      </c>
      <c r="E797" s="15"/>
      <c r="F797" s="14"/>
      <c r="G797" s="14"/>
      <c r="H797" s="14"/>
    </row>
    <row r="798" spans="1:8" x14ac:dyDescent="0.3">
      <c r="A798" s="13"/>
      <c r="B798" s="16">
        <f>IF($A798=InvestorTable[[#This Row],[Investor Tally '#]],InvestorTable[[#This Row],[Investor Name]], NA())</f>
        <v>0</v>
      </c>
      <c r="C798" s="14"/>
      <c r="D798" s="17" t="e" cm="1">
        <f t="array" ref="D798">_xlfn.IFS(AND(InvestorTable[[#This Row],[Investor Tally '#]] = 'Payment Tracker'!$A798, 'Payment Tracker'!$C798="Dividend") = TRUE, InvestorTable[[#This Row],[Monthly ROI (₦)]], AND(InvestorTable[[#This Row],[Investor Tally '#]] = 'Payment Tracker'!$A798, 'Payment Tracker'!$C798="Capital") = TRUE, InvestorTable[[#This Row],[Investment Capital (₦)]], AND(InvestorTable[[#This Row],[Investor Tally '#]] = 'Payment Tracker'!$A798, 'Payment Tracker'!$C798="Refund") = TRUE, InvestorTable[[#This Row],[Investment Capital (₦)]] )</f>
        <v>#N/A</v>
      </c>
      <c r="E798" s="15"/>
      <c r="F798" s="14"/>
      <c r="G798" s="14"/>
      <c r="H798" s="14"/>
    </row>
    <row r="799" spans="1:8" x14ac:dyDescent="0.3">
      <c r="A799" s="13"/>
      <c r="B799" s="16">
        <f>IF($A799=InvestorTable[[#This Row],[Investor Tally '#]],InvestorTable[[#This Row],[Investor Name]], NA())</f>
        <v>0</v>
      </c>
      <c r="C799" s="14"/>
      <c r="D799" s="17" t="e" cm="1">
        <f t="array" ref="D799">_xlfn.IFS(AND(InvestorTable[[#This Row],[Investor Tally '#]] = 'Payment Tracker'!$A799, 'Payment Tracker'!$C799="Dividend") = TRUE, InvestorTable[[#This Row],[Monthly ROI (₦)]], AND(InvestorTable[[#This Row],[Investor Tally '#]] = 'Payment Tracker'!$A799, 'Payment Tracker'!$C799="Capital") = TRUE, InvestorTable[[#This Row],[Investment Capital (₦)]], AND(InvestorTable[[#This Row],[Investor Tally '#]] = 'Payment Tracker'!$A799, 'Payment Tracker'!$C799="Refund") = TRUE, InvestorTable[[#This Row],[Investment Capital (₦)]] )</f>
        <v>#N/A</v>
      </c>
      <c r="E799" s="15"/>
      <c r="F799" s="14"/>
      <c r="G799" s="14"/>
      <c r="H799" s="14"/>
    </row>
    <row r="800" spans="1:8" x14ac:dyDescent="0.3">
      <c r="A800" s="13"/>
      <c r="B800" s="16">
        <f>IF($A800=InvestorTable[[#This Row],[Investor Tally '#]],InvestorTable[[#This Row],[Investor Name]], NA())</f>
        <v>0</v>
      </c>
      <c r="C800" s="14"/>
      <c r="D800" s="17" t="e" cm="1">
        <f t="array" ref="D800">_xlfn.IFS(AND(InvestorTable[[#This Row],[Investor Tally '#]] = 'Payment Tracker'!$A800, 'Payment Tracker'!$C800="Dividend") = TRUE, InvestorTable[[#This Row],[Monthly ROI (₦)]], AND(InvestorTable[[#This Row],[Investor Tally '#]] = 'Payment Tracker'!$A800, 'Payment Tracker'!$C800="Capital") = TRUE, InvestorTable[[#This Row],[Investment Capital (₦)]], AND(InvestorTable[[#This Row],[Investor Tally '#]] = 'Payment Tracker'!$A800, 'Payment Tracker'!$C800="Refund") = TRUE, InvestorTable[[#This Row],[Investment Capital (₦)]] )</f>
        <v>#N/A</v>
      </c>
      <c r="E800" s="15"/>
      <c r="F800" s="14"/>
      <c r="G800" s="14"/>
      <c r="H800" s="14"/>
    </row>
    <row r="801" spans="1:8" x14ac:dyDescent="0.3">
      <c r="A801" s="13"/>
      <c r="B801" s="16">
        <f>IF($A801=InvestorTable[[#This Row],[Investor Tally '#]],InvestorTable[[#This Row],[Investor Name]], NA())</f>
        <v>0</v>
      </c>
      <c r="C801" s="14"/>
      <c r="D801" s="17" t="e" cm="1">
        <f t="array" ref="D801">_xlfn.IFS(AND(InvestorTable[[#This Row],[Investor Tally '#]] = 'Payment Tracker'!$A801, 'Payment Tracker'!$C801="Dividend") = TRUE, InvestorTable[[#This Row],[Monthly ROI (₦)]], AND(InvestorTable[[#This Row],[Investor Tally '#]] = 'Payment Tracker'!$A801, 'Payment Tracker'!$C801="Capital") = TRUE, InvestorTable[[#This Row],[Investment Capital (₦)]], AND(InvestorTable[[#This Row],[Investor Tally '#]] = 'Payment Tracker'!$A801, 'Payment Tracker'!$C801="Refund") = TRUE, InvestorTable[[#This Row],[Investment Capital (₦)]] )</f>
        <v>#N/A</v>
      </c>
      <c r="E801" s="15"/>
      <c r="F801" s="14"/>
      <c r="G801" s="14"/>
      <c r="H801" s="14"/>
    </row>
    <row r="802" spans="1:8" x14ac:dyDescent="0.3">
      <c r="A802" s="13"/>
      <c r="B802" s="16">
        <f>IF($A802=InvestorTable[[#This Row],[Investor Tally '#]],InvestorTable[[#This Row],[Investor Name]], NA())</f>
        <v>0</v>
      </c>
      <c r="C802" s="14"/>
      <c r="D802" s="17" t="e" cm="1">
        <f t="array" ref="D802">_xlfn.IFS(AND(InvestorTable[[#This Row],[Investor Tally '#]] = 'Payment Tracker'!$A802, 'Payment Tracker'!$C802="Dividend") = TRUE, InvestorTable[[#This Row],[Monthly ROI (₦)]], AND(InvestorTable[[#This Row],[Investor Tally '#]] = 'Payment Tracker'!$A802, 'Payment Tracker'!$C802="Capital") = TRUE, InvestorTable[[#This Row],[Investment Capital (₦)]], AND(InvestorTable[[#This Row],[Investor Tally '#]] = 'Payment Tracker'!$A802, 'Payment Tracker'!$C802="Refund") = TRUE, InvestorTable[[#This Row],[Investment Capital (₦)]] )</f>
        <v>#N/A</v>
      </c>
      <c r="E802" s="15"/>
      <c r="F802" s="14"/>
      <c r="G802" s="14"/>
      <c r="H802" s="14"/>
    </row>
    <row r="803" spans="1:8" x14ac:dyDescent="0.3">
      <c r="A803" s="13"/>
      <c r="B803" s="16">
        <f>IF($A803=InvestorTable[[#This Row],[Investor Tally '#]],InvestorTable[[#This Row],[Investor Name]], NA())</f>
        <v>0</v>
      </c>
      <c r="C803" s="14"/>
      <c r="D803" s="17" t="e" cm="1">
        <f t="array" ref="D803">_xlfn.IFS(AND(InvestorTable[[#This Row],[Investor Tally '#]] = 'Payment Tracker'!$A803, 'Payment Tracker'!$C803="Dividend") = TRUE, InvestorTable[[#This Row],[Monthly ROI (₦)]], AND(InvestorTable[[#This Row],[Investor Tally '#]] = 'Payment Tracker'!$A803, 'Payment Tracker'!$C803="Capital") = TRUE, InvestorTable[[#This Row],[Investment Capital (₦)]], AND(InvestorTable[[#This Row],[Investor Tally '#]] = 'Payment Tracker'!$A803, 'Payment Tracker'!$C803="Refund") = TRUE, InvestorTable[[#This Row],[Investment Capital (₦)]] )</f>
        <v>#N/A</v>
      </c>
      <c r="E803" s="15"/>
      <c r="F803" s="14"/>
      <c r="G803" s="14"/>
      <c r="H803" s="14"/>
    </row>
    <row r="804" spans="1:8" x14ac:dyDescent="0.3">
      <c r="A804" s="13"/>
      <c r="B804" s="16">
        <f>IF($A804=InvestorTable[[#This Row],[Investor Tally '#]],InvestorTable[[#This Row],[Investor Name]], NA())</f>
        <v>0</v>
      </c>
      <c r="C804" s="14"/>
      <c r="D804" s="17" t="e" cm="1">
        <f t="array" ref="D804">_xlfn.IFS(AND(InvestorTable[[#This Row],[Investor Tally '#]] = 'Payment Tracker'!$A804, 'Payment Tracker'!$C804="Dividend") = TRUE, InvestorTable[[#This Row],[Monthly ROI (₦)]], AND(InvestorTable[[#This Row],[Investor Tally '#]] = 'Payment Tracker'!$A804, 'Payment Tracker'!$C804="Capital") = TRUE, InvestorTable[[#This Row],[Investment Capital (₦)]], AND(InvestorTable[[#This Row],[Investor Tally '#]] = 'Payment Tracker'!$A804, 'Payment Tracker'!$C804="Refund") = TRUE, InvestorTable[[#This Row],[Investment Capital (₦)]] )</f>
        <v>#N/A</v>
      </c>
      <c r="E804" s="15"/>
      <c r="F804" s="14"/>
      <c r="G804" s="14"/>
      <c r="H804" s="14"/>
    </row>
    <row r="805" spans="1:8" x14ac:dyDescent="0.3">
      <c r="A805" s="13"/>
      <c r="B805" s="16">
        <f>IF($A805=InvestorTable[[#This Row],[Investor Tally '#]],InvestorTable[[#This Row],[Investor Name]], NA())</f>
        <v>0</v>
      </c>
      <c r="C805" s="14"/>
      <c r="D805" s="17" t="e" cm="1">
        <f t="array" ref="D805">_xlfn.IFS(AND(InvestorTable[[#This Row],[Investor Tally '#]] = 'Payment Tracker'!$A805, 'Payment Tracker'!$C805="Dividend") = TRUE, InvestorTable[[#This Row],[Monthly ROI (₦)]], AND(InvestorTable[[#This Row],[Investor Tally '#]] = 'Payment Tracker'!$A805, 'Payment Tracker'!$C805="Capital") = TRUE, InvestorTable[[#This Row],[Investment Capital (₦)]], AND(InvestorTable[[#This Row],[Investor Tally '#]] = 'Payment Tracker'!$A805, 'Payment Tracker'!$C805="Refund") = TRUE, InvestorTable[[#This Row],[Investment Capital (₦)]] )</f>
        <v>#N/A</v>
      </c>
      <c r="E805" s="15"/>
      <c r="F805" s="14"/>
      <c r="G805" s="14"/>
      <c r="H805" s="14"/>
    </row>
    <row r="806" spans="1:8" x14ac:dyDescent="0.3">
      <c r="A806" s="13"/>
      <c r="B806" s="16">
        <f>IF($A806=InvestorTable[[#This Row],[Investor Tally '#]],InvestorTable[[#This Row],[Investor Name]], NA())</f>
        <v>0</v>
      </c>
      <c r="C806" s="14"/>
      <c r="D806" s="17" t="e" cm="1">
        <f t="array" ref="D806">_xlfn.IFS(AND(InvestorTable[[#This Row],[Investor Tally '#]] = 'Payment Tracker'!$A806, 'Payment Tracker'!$C806="Dividend") = TRUE, InvestorTable[[#This Row],[Monthly ROI (₦)]], AND(InvestorTable[[#This Row],[Investor Tally '#]] = 'Payment Tracker'!$A806, 'Payment Tracker'!$C806="Capital") = TRUE, InvestorTable[[#This Row],[Investment Capital (₦)]], AND(InvestorTable[[#This Row],[Investor Tally '#]] = 'Payment Tracker'!$A806, 'Payment Tracker'!$C806="Refund") = TRUE, InvestorTable[[#This Row],[Investment Capital (₦)]] )</f>
        <v>#N/A</v>
      </c>
      <c r="E806" s="15"/>
      <c r="F806" s="14"/>
      <c r="G806" s="14"/>
      <c r="H806" s="14"/>
    </row>
    <row r="807" spans="1:8" x14ac:dyDescent="0.3">
      <c r="A807" s="13"/>
      <c r="B807" s="16">
        <f>IF($A807=InvestorTable[[#This Row],[Investor Tally '#]],InvestorTable[[#This Row],[Investor Name]], NA())</f>
        <v>0</v>
      </c>
      <c r="C807" s="14"/>
      <c r="D807" s="17" t="e" cm="1">
        <f t="array" ref="D807">_xlfn.IFS(AND(InvestorTable[[#This Row],[Investor Tally '#]] = 'Payment Tracker'!$A807, 'Payment Tracker'!$C807="Dividend") = TRUE, InvestorTable[[#This Row],[Monthly ROI (₦)]], AND(InvestorTable[[#This Row],[Investor Tally '#]] = 'Payment Tracker'!$A807, 'Payment Tracker'!$C807="Capital") = TRUE, InvestorTable[[#This Row],[Investment Capital (₦)]], AND(InvestorTable[[#This Row],[Investor Tally '#]] = 'Payment Tracker'!$A807, 'Payment Tracker'!$C807="Refund") = TRUE, InvestorTable[[#This Row],[Investment Capital (₦)]] )</f>
        <v>#N/A</v>
      </c>
      <c r="E807" s="15"/>
      <c r="F807" s="14"/>
      <c r="G807" s="14"/>
      <c r="H807" s="14"/>
    </row>
    <row r="808" spans="1:8" x14ac:dyDescent="0.3">
      <c r="A808" s="13"/>
      <c r="B808" s="16">
        <f>IF($A808=InvestorTable[[#This Row],[Investor Tally '#]],InvestorTable[[#This Row],[Investor Name]], NA())</f>
        <v>0</v>
      </c>
      <c r="C808" s="14"/>
      <c r="D808" s="17" t="e" cm="1">
        <f t="array" ref="D808">_xlfn.IFS(AND(InvestorTable[[#This Row],[Investor Tally '#]] = 'Payment Tracker'!$A808, 'Payment Tracker'!$C808="Dividend") = TRUE, InvestorTable[[#This Row],[Monthly ROI (₦)]], AND(InvestorTable[[#This Row],[Investor Tally '#]] = 'Payment Tracker'!$A808, 'Payment Tracker'!$C808="Capital") = TRUE, InvestorTable[[#This Row],[Investment Capital (₦)]], AND(InvestorTable[[#This Row],[Investor Tally '#]] = 'Payment Tracker'!$A808, 'Payment Tracker'!$C808="Refund") = TRUE, InvestorTable[[#This Row],[Investment Capital (₦)]] )</f>
        <v>#N/A</v>
      </c>
      <c r="E808" s="15"/>
      <c r="F808" s="14"/>
      <c r="G808" s="14"/>
      <c r="H808" s="14"/>
    </row>
    <row r="809" spans="1:8" x14ac:dyDescent="0.3">
      <c r="A809" s="13"/>
      <c r="B809" s="16">
        <f>IF($A809=InvestorTable[[#This Row],[Investor Tally '#]],InvestorTable[[#This Row],[Investor Name]], NA())</f>
        <v>0</v>
      </c>
      <c r="C809" s="14"/>
      <c r="D809" s="17" t="e" cm="1">
        <f t="array" ref="D809">_xlfn.IFS(AND(InvestorTable[[#This Row],[Investor Tally '#]] = 'Payment Tracker'!$A809, 'Payment Tracker'!$C809="Dividend") = TRUE, InvestorTable[[#This Row],[Monthly ROI (₦)]], AND(InvestorTable[[#This Row],[Investor Tally '#]] = 'Payment Tracker'!$A809, 'Payment Tracker'!$C809="Capital") = TRUE, InvestorTable[[#This Row],[Investment Capital (₦)]], AND(InvestorTable[[#This Row],[Investor Tally '#]] = 'Payment Tracker'!$A809, 'Payment Tracker'!$C809="Refund") = TRUE, InvestorTable[[#This Row],[Investment Capital (₦)]] )</f>
        <v>#N/A</v>
      </c>
      <c r="E809" s="15"/>
      <c r="F809" s="14"/>
      <c r="G809" s="14"/>
      <c r="H809" s="14"/>
    </row>
    <row r="810" spans="1:8" x14ac:dyDescent="0.3">
      <c r="A810" s="13"/>
      <c r="B810" s="16">
        <f>IF($A810=InvestorTable[[#This Row],[Investor Tally '#]],InvestorTable[[#This Row],[Investor Name]], NA())</f>
        <v>0</v>
      </c>
      <c r="C810" s="14"/>
      <c r="D810" s="17" t="e" cm="1">
        <f t="array" ref="D810">_xlfn.IFS(AND(InvestorTable[[#This Row],[Investor Tally '#]] = 'Payment Tracker'!$A810, 'Payment Tracker'!$C810="Dividend") = TRUE, InvestorTable[[#This Row],[Monthly ROI (₦)]], AND(InvestorTable[[#This Row],[Investor Tally '#]] = 'Payment Tracker'!$A810, 'Payment Tracker'!$C810="Capital") = TRUE, InvestorTable[[#This Row],[Investment Capital (₦)]], AND(InvestorTable[[#This Row],[Investor Tally '#]] = 'Payment Tracker'!$A810, 'Payment Tracker'!$C810="Refund") = TRUE, InvestorTable[[#This Row],[Investment Capital (₦)]] )</f>
        <v>#N/A</v>
      </c>
      <c r="E810" s="15"/>
      <c r="F810" s="14"/>
      <c r="G810" s="14"/>
      <c r="H810" s="14"/>
    </row>
    <row r="811" spans="1:8" x14ac:dyDescent="0.3">
      <c r="A811" s="13"/>
      <c r="B811" s="16">
        <f>IF($A811=InvestorTable[[#This Row],[Investor Tally '#]],InvestorTable[[#This Row],[Investor Name]], NA())</f>
        <v>0</v>
      </c>
      <c r="C811" s="14"/>
      <c r="D811" s="17" t="e" cm="1">
        <f t="array" ref="D811">_xlfn.IFS(AND(InvestorTable[[#This Row],[Investor Tally '#]] = 'Payment Tracker'!$A811, 'Payment Tracker'!$C811="Dividend") = TRUE, InvestorTable[[#This Row],[Monthly ROI (₦)]], AND(InvestorTable[[#This Row],[Investor Tally '#]] = 'Payment Tracker'!$A811, 'Payment Tracker'!$C811="Capital") = TRUE, InvestorTable[[#This Row],[Investment Capital (₦)]], AND(InvestorTable[[#This Row],[Investor Tally '#]] = 'Payment Tracker'!$A811, 'Payment Tracker'!$C811="Refund") = TRUE, InvestorTable[[#This Row],[Investment Capital (₦)]] )</f>
        <v>#N/A</v>
      </c>
      <c r="E811" s="15"/>
      <c r="F811" s="14"/>
      <c r="G811" s="14"/>
      <c r="H811" s="14"/>
    </row>
    <row r="812" spans="1:8" x14ac:dyDescent="0.3">
      <c r="A812" s="13"/>
      <c r="B812" s="16">
        <f>IF($A812=InvestorTable[[#This Row],[Investor Tally '#]],InvestorTable[[#This Row],[Investor Name]], NA())</f>
        <v>0</v>
      </c>
      <c r="C812" s="14"/>
      <c r="D812" s="17" t="e" cm="1">
        <f t="array" ref="D812">_xlfn.IFS(AND(InvestorTable[[#This Row],[Investor Tally '#]] = 'Payment Tracker'!$A812, 'Payment Tracker'!$C812="Dividend") = TRUE, InvestorTable[[#This Row],[Monthly ROI (₦)]], AND(InvestorTable[[#This Row],[Investor Tally '#]] = 'Payment Tracker'!$A812, 'Payment Tracker'!$C812="Capital") = TRUE, InvestorTable[[#This Row],[Investment Capital (₦)]], AND(InvestorTable[[#This Row],[Investor Tally '#]] = 'Payment Tracker'!$A812, 'Payment Tracker'!$C812="Refund") = TRUE, InvestorTable[[#This Row],[Investment Capital (₦)]] )</f>
        <v>#N/A</v>
      </c>
      <c r="E812" s="15"/>
      <c r="F812" s="14"/>
      <c r="G812" s="14"/>
      <c r="H812" s="14"/>
    </row>
    <row r="813" spans="1:8" x14ac:dyDescent="0.3">
      <c r="A813" s="13"/>
      <c r="B813" s="16">
        <f>IF($A813=InvestorTable[[#This Row],[Investor Tally '#]],InvestorTable[[#This Row],[Investor Name]], NA())</f>
        <v>0</v>
      </c>
      <c r="C813" s="14"/>
      <c r="D813" s="17" t="e" cm="1">
        <f t="array" ref="D813">_xlfn.IFS(AND(InvestorTable[[#This Row],[Investor Tally '#]] = 'Payment Tracker'!$A813, 'Payment Tracker'!$C813="Dividend") = TRUE, InvestorTable[[#This Row],[Monthly ROI (₦)]], AND(InvestorTable[[#This Row],[Investor Tally '#]] = 'Payment Tracker'!$A813, 'Payment Tracker'!$C813="Capital") = TRUE, InvestorTable[[#This Row],[Investment Capital (₦)]], AND(InvestorTable[[#This Row],[Investor Tally '#]] = 'Payment Tracker'!$A813, 'Payment Tracker'!$C813="Refund") = TRUE, InvestorTable[[#This Row],[Investment Capital (₦)]] )</f>
        <v>#N/A</v>
      </c>
      <c r="E813" s="15"/>
      <c r="F813" s="14"/>
      <c r="G813" s="14"/>
      <c r="H813" s="14"/>
    </row>
    <row r="814" spans="1:8" x14ac:dyDescent="0.3">
      <c r="A814" s="13"/>
      <c r="B814" s="16">
        <f>IF($A814=InvestorTable[[#This Row],[Investor Tally '#]],InvestorTable[[#This Row],[Investor Name]], NA())</f>
        <v>0</v>
      </c>
      <c r="C814" s="14"/>
      <c r="D814" s="17" t="e" cm="1">
        <f t="array" ref="D814">_xlfn.IFS(AND(InvestorTable[[#This Row],[Investor Tally '#]] = 'Payment Tracker'!$A814, 'Payment Tracker'!$C814="Dividend") = TRUE, InvestorTable[[#This Row],[Monthly ROI (₦)]], AND(InvestorTable[[#This Row],[Investor Tally '#]] = 'Payment Tracker'!$A814, 'Payment Tracker'!$C814="Capital") = TRUE, InvestorTable[[#This Row],[Investment Capital (₦)]], AND(InvestorTable[[#This Row],[Investor Tally '#]] = 'Payment Tracker'!$A814, 'Payment Tracker'!$C814="Refund") = TRUE, InvestorTable[[#This Row],[Investment Capital (₦)]] )</f>
        <v>#N/A</v>
      </c>
      <c r="E814" s="15"/>
      <c r="F814" s="14"/>
      <c r="G814" s="14"/>
      <c r="H814" s="14"/>
    </row>
    <row r="815" spans="1:8" x14ac:dyDescent="0.3">
      <c r="A815" s="13"/>
      <c r="B815" s="16">
        <f>IF($A815=InvestorTable[[#This Row],[Investor Tally '#]],InvestorTable[[#This Row],[Investor Name]], NA())</f>
        <v>0</v>
      </c>
      <c r="C815" s="14"/>
      <c r="D815" s="17" t="e" cm="1">
        <f t="array" ref="D815">_xlfn.IFS(AND(InvestorTable[[#This Row],[Investor Tally '#]] = 'Payment Tracker'!$A815, 'Payment Tracker'!$C815="Dividend") = TRUE, InvestorTable[[#This Row],[Monthly ROI (₦)]], AND(InvestorTable[[#This Row],[Investor Tally '#]] = 'Payment Tracker'!$A815, 'Payment Tracker'!$C815="Capital") = TRUE, InvestorTable[[#This Row],[Investment Capital (₦)]], AND(InvestorTable[[#This Row],[Investor Tally '#]] = 'Payment Tracker'!$A815, 'Payment Tracker'!$C815="Refund") = TRUE, InvestorTable[[#This Row],[Investment Capital (₦)]] )</f>
        <v>#N/A</v>
      </c>
      <c r="E815" s="15"/>
      <c r="F815" s="14"/>
      <c r="G815" s="14"/>
      <c r="H815" s="14"/>
    </row>
    <row r="816" spans="1:8" x14ac:dyDescent="0.3">
      <c r="A816" s="13"/>
      <c r="B816" s="16">
        <f>IF($A816=InvestorTable[[#This Row],[Investor Tally '#]],InvestorTable[[#This Row],[Investor Name]], NA())</f>
        <v>0</v>
      </c>
      <c r="C816" s="14"/>
      <c r="D816" s="17" t="e" cm="1">
        <f t="array" ref="D816">_xlfn.IFS(AND(InvestorTable[[#This Row],[Investor Tally '#]] = 'Payment Tracker'!$A816, 'Payment Tracker'!$C816="Dividend") = TRUE, InvestorTable[[#This Row],[Monthly ROI (₦)]], AND(InvestorTable[[#This Row],[Investor Tally '#]] = 'Payment Tracker'!$A816, 'Payment Tracker'!$C816="Capital") = TRUE, InvestorTable[[#This Row],[Investment Capital (₦)]], AND(InvestorTable[[#This Row],[Investor Tally '#]] = 'Payment Tracker'!$A816, 'Payment Tracker'!$C816="Refund") = TRUE, InvestorTable[[#This Row],[Investment Capital (₦)]] )</f>
        <v>#N/A</v>
      </c>
      <c r="E816" s="15"/>
      <c r="F816" s="14"/>
      <c r="G816" s="14"/>
      <c r="H816" s="14"/>
    </row>
    <row r="817" spans="1:8" x14ac:dyDescent="0.3">
      <c r="A817" s="13"/>
      <c r="B817" s="16">
        <f>IF($A817=InvestorTable[[#This Row],[Investor Tally '#]],InvestorTable[[#This Row],[Investor Name]], NA())</f>
        <v>0</v>
      </c>
      <c r="C817" s="14"/>
      <c r="D817" s="17" t="e" cm="1">
        <f t="array" ref="D817">_xlfn.IFS(AND(InvestorTable[[#This Row],[Investor Tally '#]] = 'Payment Tracker'!$A817, 'Payment Tracker'!$C817="Dividend") = TRUE, InvestorTable[[#This Row],[Monthly ROI (₦)]], AND(InvestorTable[[#This Row],[Investor Tally '#]] = 'Payment Tracker'!$A817, 'Payment Tracker'!$C817="Capital") = TRUE, InvestorTable[[#This Row],[Investment Capital (₦)]], AND(InvestorTable[[#This Row],[Investor Tally '#]] = 'Payment Tracker'!$A817, 'Payment Tracker'!$C817="Refund") = TRUE, InvestorTable[[#This Row],[Investment Capital (₦)]] )</f>
        <v>#N/A</v>
      </c>
      <c r="E817" s="15"/>
      <c r="F817" s="14"/>
      <c r="G817" s="14"/>
      <c r="H817" s="14"/>
    </row>
    <row r="818" spans="1:8" x14ac:dyDescent="0.3">
      <c r="A818" s="13"/>
      <c r="B818" s="16">
        <f>IF($A818=InvestorTable[[#This Row],[Investor Tally '#]],InvestorTable[[#This Row],[Investor Name]], NA())</f>
        <v>0</v>
      </c>
      <c r="C818" s="14"/>
      <c r="D818" s="17" t="e" cm="1">
        <f t="array" ref="D818">_xlfn.IFS(AND(InvestorTable[[#This Row],[Investor Tally '#]] = 'Payment Tracker'!$A818, 'Payment Tracker'!$C818="Dividend") = TRUE, InvestorTable[[#This Row],[Monthly ROI (₦)]], AND(InvestorTable[[#This Row],[Investor Tally '#]] = 'Payment Tracker'!$A818, 'Payment Tracker'!$C818="Capital") = TRUE, InvestorTable[[#This Row],[Investment Capital (₦)]], AND(InvestorTable[[#This Row],[Investor Tally '#]] = 'Payment Tracker'!$A818, 'Payment Tracker'!$C818="Refund") = TRUE, InvestorTable[[#This Row],[Investment Capital (₦)]] )</f>
        <v>#N/A</v>
      </c>
      <c r="E818" s="15"/>
      <c r="F818" s="14"/>
      <c r="G818" s="14"/>
      <c r="H818" s="14"/>
    </row>
    <row r="819" spans="1:8" x14ac:dyDescent="0.3">
      <c r="A819" s="13"/>
      <c r="B819" s="16">
        <f>IF($A819=InvestorTable[[#This Row],[Investor Tally '#]],InvestorTable[[#This Row],[Investor Name]], NA())</f>
        <v>0</v>
      </c>
      <c r="C819" s="14"/>
      <c r="D819" s="17" t="e" cm="1">
        <f t="array" ref="D819">_xlfn.IFS(AND(InvestorTable[[#This Row],[Investor Tally '#]] = 'Payment Tracker'!$A819, 'Payment Tracker'!$C819="Dividend") = TRUE, InvestorTable[[#This Row],[Monthly ROI (₦)]], AND(InvestorTable[[#This Row],[Investor Tally '#]] = 'Payment Tracker'!$A819, 'Payment Tracker'!$C819="Capital") = TRUE, InvestorTable[[#This Row],[Investment Capital (₦)]], AND(InvestorTable[[#This Row],[Investor Tally '#]] = 'Payment Tracker'!$A819, 'Payment Tracker'!$C819="Refund") = TRUE, InvestorTable[[#This Row],[Investment Capital (₦)]] )</f>
        <v>#N/A</v>
      </c>
      <c r="E819" s="15"/>
      <c r="F819" s="14"/>
      <c r="G819" s="14"/>
      <c r="H819" s="14"/>
    </row>
    <row r="820" spans="1:8" x14ac:dyDescent="0.3">
      <c r="A820" s="13"/>
      <c r="B820" s="16">
        <f>IF($A820=InvestorTable[[#This Row],[Investor Tally '#]],InvestorTable[[#This Row],[Investor Name]], NA())</f>
        <v>0</v>
      </c>
      <c r="C820" s="14"/>
      <c r="D820" s="17" t="e" cm="1">
        <f t="array" ref="D820">_xlfn.IFS(AND(InvestorTable[[#This Row],[Investor Tally '#]] = 'Payment Tracker'!$A820, 'Payment Tracker'!$C820="Dividend") = TRUE, InvestorTable[[#This Row],[Monthly ROI (₦)]], AND(InvestorTable[[#This Row],[Investor Tally '#]] = 'Payment Tracker'!$A820, 'Payment Tracker'!$C820="Capital") = TRUE, InvestorTable[[#This Row],[Investment Capital (₦)]], AND(InvestorTable[[#This Row],[Investor Tally '#]] = 'Payment Tracker'!$A820, 'Payment Tracker'!$C820="Refund") = TRUE, InvestorTable[[#This Row],[Investment Capital (₦)]] )</f>
        <v>#N/A</v>
      </c>
      <c r="E820" s="15"/>
      <c r="F820" s="14"/>
      <c r="G820" s="14"/>
      <c r="H820" s="14"/>
    </row>
    <row r="821" spans="1:8" x14ac:dyDescent="0.3">
      <c r="A821" s="13"/>
      <c r="B821" s="16">
        <f>IF($A821=InvestorTable[[#This Row],[Investor Tally '#]],InvestorTable[[#This Row],[Investor Name]], NA())</f>
        <v>0</v>
      </c>
      <c r="C821" s="14"/>
      <c r="D821" s="17" t="e" cm="1">
        <f t="array" ref="D821">_xlfn.IFS(AND(InvestorTable[[#This Row],[Investor Tally '#]] = 'Payment Tracker'!$A821, 'Payment Tracker'!$C821="Dividend") = TRUE, InvestorTable[[#This Row],[Monthly ROI (₦)]], AND(InvestorTable[[#This Row],[Investor Tally '#]] = 'Payment Tracker'!$A821, 'Payment Tracker'!$C821="Capital") = TRUE, InvestorTable[[#This Row],[Investment Capital (₦)]], AND(InvestorTable[[#This Row],[Investor Tally '#]] = 'Payment Tracker'!$A821, 'Payment Tracker'!$C821="Refund") = TRUE, InvestorTable[[#This Row],[Investment Capital (₦)]] )</f>
        <v>#N/A</v>
      </c>
      <c r="E821" s="15"/>
      <c r="F821" s="14"/>
      <c r="G821" s="14"/>
      <c r="H821" s="14"/>
    </row>
    <row r="822" spans="1:8" x14ac:dyDescent="0.3">
      <c r="A822" s="13"/>
      <c r="B822" s="16">
        <f>IF($A822=InvestorTable[[#This Row],[Investor Tally '#]],InvestorTable[[#This Row],[Investor Name]], NA())</f>
        <v>0</v>
      </c>
      <c r="C822" s="14"/>
      <c r="D822" s="17" t="e" cm="1">
        <f t="array" ref="D822">_xlfn.IFS(AND(InvestorTable[[#This Row],[Investor Tally '#]] = 'Payment Tracker'!$A822, 'Payment Tracker'!$C822="Dividend") = TRUE, InvestorTable[[#This Row],[Monthly ROI (₦)]], AND(InvestorTable[[#This Row],[Investor Tally '#]] = 'Payment Tracker'!$A822, 'Payment Tracker'!$C822="Capital") = TRUE, InvestorTable[[#This Row],[Investment Capital (₦)]], AND(InvestorTable[[#This Row],[Investor Tally '#]] = 'Payment Tracker'!$A822, 'Payment Tracker'!$C822="Refund") = TRUE, InvestorTable[[#This Row],[Investment Capital (₦)]] )</f>
        <v>#N/A</v>
      </c>
      <c r="E822" s="15"/>
      <c r="F822" s="14"/>
      <c r="G822" s="14"/>
      <c r="H822" s="14"/>
    </row>
    <row r="823" spans="1:8" x14ac:dyDescent="0.3">
      <c r="A823" s="13"/>
      <c r="B823" s="16">
        <f>IF($A823=InvestorTable[[#This Row],[Investor Tally '#]],InvestorTable[[#This Row],[Investor Name]], NA())</f>
        <v>0</v>
      </c>
      <c r="C823" s="14"/>
      <c r="D823" s="17" t="e" cm="1">
        <f t="array" ref="D823">_xlfn.IFS(AND(InvestorTable[[#This Row],[Investor Tally '#]] = 'Payment Tracker'!$A823, 'Payment Tracker'!$C823="Dividend") = TRUE, InvestorTable[[#This Row],[Monthly ROI (₦)]], AND(InvestorTable[[#This Row],[Investor Tally '#]] = 'Payment Tracker'!$A823, 'Payment Tracker'!$C823="Capital") = TRUE, InvestorTable[[#This Row],[Investment Capital (₦)]], AND(InvestorTable[[#This Row],[Investor Tally '#]] = 'Payment Tracker'!$A823, 'Payment Tracker'!$C823="Refund") = TRUE, InvestorTable[[#This Row],[Investment Capital (₦)]] )</f>
        <v>#N/A</v>
      </c>
      <c r="E823" s="15"/>
      <c r="F823" s="14"/>
      <c r="G823" s="14"/>
      <c r="H823" s="14"/>
    </row>
    <row r="824" spans="1:8" x14ac:dyDescent="0.3">
      <c r="A824" s="13"/>
      <c r="B824" s="16">
        <f>IF($A824=InvestorTable[[#This Row],[Investor Tally '#]],InvestorTable[[#This Row],[Investor Name]], NA())</f>
        <v>0</v>
      </c>
      <c r="C824" s="14"/>
      <c r="D824" s="17" t="e" cm="1">
        <f t="array" ref="D824">_xlfn.IFS(AND(InvestorTable[[#This Row],[Investor Tally '#]] = 'Payment Tracker'!$A824, 'Payment Tracker'!$C824="Dividend") = TRUE, InvestorTable[[#This Row],[Monthly ROI (₦)]], AND(InvestorTable[[#This Row],[Investor Tally '#]] = 'Payment Tracker'!$A824, 'Payment Tracker'!$C824="Capital") = TRUE, InvestorTable[[#This Row],[Investment Capital (₦)]], AND(InvestorTable[[#This Row],[Investor Tally '#]] = 'Payment Tracker'!$A824, 'Payment Tracker'!$C824="Refund") = TRUE, InvestorTable[[#This Row],[Investment Capital (₦)]] )</f>
        <v>#N/A</v>
      </c>
      <c r="E824" s="15"/>
      <c r="F824" s="14"/>
      <c r="G824" s="14"/>
      <c r="H824" s="14"/>
    </row>
    <row r="825" spans="1:8" x14ac:dyDescent="0.3">
      <c r="A825" s="13"/>
      <c r="B825" s="16">
        <f>IF($A825=InvestorTable[[#This Row],[Investor Tally '#]],InvestorTable[[#This Row],[Investor Name]], NA())</f>
        <v>0</v>
      </c>
      <c r="C825" s="14"/>
      <c r="D825" s="17" t="e" cm="1">
        <f t="array" ref="D825">_xlfn.IFS(AND(InvestorTable[[#This Row],[Investor Tally '#]] = 'Payment Tracker'!$A825, 'Payment Tracker'!$C825="Dividend") = TRUE, InvestorTable[[#This Row],[Monthly ROI (₦)]], AND(InvestorTable[[#This Row],[Investor Tally '#]] = 'Payment Tracker'!$A825, 'Payment Tracker'!$C825="Capital") = TRUE, InvestorTable[[#This Row],[Investment Capital (₦)]], AND(InvestorTable[[#This Row],[Investor Tally '#]] = 'Payment Tracker'!$A825, 'Payment Tracker'!$C825="Refund") = TRUE, InvestorTable[[#This Row],[Investment Capital (₦)]] )</f>
        <v>#N/A</v>
      </c>
      <c r="E825" s="15"/>
      <c r="F825" s="14"/>
      <c r="G825" s="14"/>
      <c r="H825" s="14"/>
    </row>
    <row r="826" spans="1:8" x14ac:dyDescent="0.3">
      <c r="A826" s="13"/>
      <c r="B826" s="16">
        <f>IF($A826=InvestorTable[[#This Row],[Investor Tally '#]],InvestorTable[[#This Row],[Investor Name]], NA())</f>
        <v>0</v>
      </c>
      <c r="C826" s="14"/>
      <c r="D826" s="17" t="e" cm="1">
        <f t="array" ref="D826">_xlfn.IFS(AND(InvestorTable[[#This Row],[Investor Tally '#]] = 'Payment Tracker'!$A826, 'Payment Tracker'!$C826="Dividend") = TRUE, InvestorTable[[#This Row],[Monthly ROI (₦)]], AND(InvestorTable[[#This Row],[Investor Tally '#]] = 'Payment Tracker'!$A826, 'Payment Tracker'!$C826="Capital") = TRUE, InvestorTable[[#This Row],[Investment Capital (₦)]], AND(InvestorTable[[#This Row],[Investor Tally '#]] = 'Payment Tracker'!$A826, 'Payment Tracker'!$C826="Refund") = TRUE, InvestorTable[[#This Row],[Investment Capital (₦)]] )</f>
        <v>#N/A</v>
      </c>
      <c r="E826" s="15"/>
      <c r="F826" s="14"/>
      <c r="G826" s="14"/>
      <c r="H826" s="14"/>
    </row>
    <row r="827" spans="1:8" x14ac:dyDescent="0.3">
      <c r="A827" s="13"/>
      <c r="B827" s="16">
        <f>IF($A827=InvestorTable[[#This Row],[Investor Tally '#]],InvestorTable[[#This Row],[Investor Name]], NA())</f>
        <v>0</v>
      </c>
      <c r="C827" s="14"/>
      <c r="D827" s="17" t="e" cm="1">
        <f t="array" ref="D827">_xlfn.IFS(AND(InvestorTable[[#This Row],[Investor Tally '#]] = 'Payment Tracker'!$A827, 'Payment Tracker'!$C827="Dividend") = TRUE, InvestorTable[[#This Row],[Monthly ROI (₦)]], AND(InvestorTable[[#This Row],[Investor Tally '#]] = 'Payment Tracker'!$A827, 'Payment Tracker'!$C827="Capital") = TRUE, InvestorTable[[#This Row],[Investment Capital (₦)]], AND(InvestorTable[[#This Row],[Investor Tally '#]] = 'Payment Tracker'!$A827, 'Payment Tracker'!$C827="Refund") = TRUE, InvestorTable[[#This Row],[Investment Capital (₦)]] )</f>
        <v>#N/A</v>
      </c>
      <c r="E827" s="15"/>
      <c r="F827" s="14"/>
      <c r="G827" s="14"/>
      <c r="H827" s="14"/>
    </row>
    <row r="828" spans="1:8" x14ac:dyDescent="0.3">
      <c r="A828" s="13"/>
      <c r="B828" s="16">
        <f>IF($A828=InvestorTable[[#This Row],[Investor Tally '#]],InvestorTable[[#This Row],[Investor Name]], NA())</f>
        <v>0</v>
      </c>
      <c r="C828" s="14"/>
      <c r="D828" s="17" t="e" cm="1">
        <f t="array" ref="D828">_xlfn.IFS(AND(InvestorTable[[#This Row],[Investor Tally '#]] = 'Payment Tracker'!$A828, 'Payment Tracker'!$C828="Dividend") = TRUE, InvestorTable[[#This Row],[Monthly ROI (₦)]], AND(InvestorTable[[#This Row],[Investor Tally '#]] = 'Payment Tracker'!$A828, 'Payment Tracker'!$C828="Capital") = TRUE, InvestorTable[[#This Row],[Investment Capital (₦)]], AND(InvestorTable[[#This Row],[Investor Tally '#]] = 'Payment Tracker'!$A828, 'Payment Tracker'!$C828="Refund") = TRUE, InvestorTable[[#This Row],[Investment Capital (₦)]] )</f>
        <v>#N/A</v>
      </c>
      <c r="E828" s="15"/>
      <c r="F828" s="14"/>
      <c r="G828" s="14"/>
      <c r="H828" s="14"/>
    </row>
    <row r="829" spans="1:8" x14ac:dyDescent="0.3">
      <c r="A829" s="13"/>
      <c r="B829" s="16">
        <f>IF($A829=InvestorTable[[#This Row],[Investor Tally '#]],InvestorTable[[#This Row],[Investor Name]], NA())</f>
        <v>0</v>
      </c>
      <c r="C829" s="14"/>
      <c r="D829" s="17" t="e" cm="1">
        <f t="array" ref="D829">_xlfn.IFS(AND(InvestorTable[[#This Row],[Investor Tally '#]] = 'Payment Tracker'!$A829, 'Payment Tracker'!$C829="Dividend") = TRUE, InvestorTable[[#This Row],[Monthly ROI (₦)]], AND(InvestorTable[[#This Row],[Investor Tally '#]] = 'Payment Tracker'!$A829, 'Payment Tracker'!$C829="Capital") = TRUE, InvestorTable[[#This Row],[Investment Capital (₦)]], AND(InvestorTable[[#This Row],[Investor Tally '#]] = 'Payment Tracker'!$A829, 'Payment Tracker'!$C829="Refund") = TRUE, InvestorTable[[#This Row],[Investment Capital (₦)]] )</f>
        <v>#N/A</v>
      </c>
      <c r="E829" s="15"/>
      <c r="F829" s="14"/>
      <c r="G829" s="14"/>
      <c r="H829" s="14"/>
    </row>
    <row r="830" spans="1:8" x14ac:dyDescent="0.3">
      <c r="A830" s="13"/>
      <c r="B830" s="16">
        <f>IF($A830=InvestorTable[[#This Row],[Investor Tally '#]],InvestorTable[[#This Row],[Investor Name]], NA())</f>
        <v>0</v>
      </c>
      <c r="C830" s="14"/>
      <c r="D830" s="17" t="e" cm="1">
        <f t="array" ref="D830">_xlfn.IFS(AND(InvestorTable[[#This Row],[Investor Tally '#]] = 'Payment Tracker'!$A830, 'Payment Tracker'!$C830="Dividend") = TRUE, InvestorTable[[#This Row],[Monthly ROI (₦)]], AND(InvestorTable[[#This Row],[Investor Tally '#]] = 'Payment Tracker'!$A830, 'Payment Tracker'!$C830="Capital") = TRUE, InvestorTable[[#This Row],[Investment Capital (₦)]], AND(InvestorTable[[#This Row],[Investor Tally '#]] = 'Payment Tracker'!$A830, 'Payment Tracker'!$C830="Refund") = TRUE, InvestorTable[[#This Row],[Investment Capital (₦)]] )</f>
        <v>#N/A</v>
      </c>
      <c r="E830" s="15"/>
      <c r="F830" s="14"/>
      <c r="G830" s="14"/>
      <c r="H830" s="14"/>
    </row>
    <row r="831" spans="1:8" x14ac:dyDescent="0.3">
      <c r="A831" s="13"/>
      <c r="B831" s="16">
        <f>IF($A831=InvestorTable[[#This Row],[Investor Tally '#]],InvestorTable[[#This Row],[Investor Name]], NA())</f>
        <v>0</v>
      </c>
      <c r="C831" s="14"/>
      <c r="D831" s="17" t="e" cm="1">
        <f t="array" ref="D831">_xlfn.IFS(AND(InvestorTable[[#This Row],[Investor Tally '#]] = 'Payment Tracker'!$A831, 'Payment Tracker'!$C831="Dividend") = TRUE, InvestorTable[[#This Row],[Monthly ROI (₦)]], AND(InvestorTable[[#This Row],[Investor Tally '#]] = 'Payment Tracker'!$A831, 'Payment Tracker'!$C831="Capital") = TRUE, InvestorTable[[#This Row],[Investment Capital (₦)]], AND(InvestorTable[[#This Row],[Investor Tally '#]] = 'Payment Tracker'!$A831, 'Payment Tracker'!$C831="Refund") = TRUE, InvestorTable[[#This Row],[Investment Capital (₦)]] )</f>
        <v>#N/A</v>
      </c>
      <c r="E831" s="15"/>
      <c r="F831" s="14"/>
      <c r="G831" s="14"/>
      <c r="H831" s="14"/>
    </row>
    <row r="832" spans="1:8" x14ac:dyDescent="0.3">
      <c r="A832" s="13"/>
      <c r="B832" s="16">
        <f>IF($A832=InvestorTable[[#This Row],[Investor Tally '#]],InvestorTable[[#This Row],[Investor Name]], NA())</f>
        <v>0</v>
      </c>
      <c r="C832" s="14"/>
      <c r="D832" s="17" t="e" cm="1">
        <f t="array" ref="D832">_xlfn.IFS(AND(InvestorTable[[#This Row],[Investor Tally '#]] = 'Payment Tracker'!$A832, 'Payment Tracker'!$C832="Dividend") = TRUE, InvestorTable[[#This Row],[Monthly ROI (₦)]], AND(InvestorTable[[#This Row],[Investor Tally '#]] = 'Payment Tracker'!$A832, 'Payment Tracker'!$C832="Capital") = TRUE, InvestorTable[[#This Row],[Investment Capital (₦)]], AND(InvestorTable[[#This Row],[Investor Tally '#]] = 'Payment Tracker'!$A832, 'Payment Tracker'!$C832="Refund") = TRUE, InvestorTable[[#This Row],[Investment Capital (₦)]] )</f>
        <v>#N/A</v>
      </c>
      <c r="E832" s="15"/>
      <c r="F832" s="14"/>
      <c r="G832" s="14"/>
      <c r="H832" s="14"/>
    </row>
    <row r="833" spans="1:8" x14ac:dyDescent="0.3">
      <c r="A833" s="13"/>
      <c r="B833" s="16">
        <f>IF($A833=InvestorTable[[#This Row],[Investor Tally '#]],InvestorTable[[#This Row],[Investor Name]], NA())</f>
        <v>0</v>
      </c>
      <c r="C833" s="14"/>
      <c r="D833" s="17" t="e" cm="1">
        <f t="array" ref="D833">_xlfn.IFS(AND(InvestorTable[[#This Row],[Investor Tally '#]] = 'Payment Tracker'!$A833, 'Payment Tracker'!$C833="Dividend") = TRUE, InvestorTable[[#This Row],[Monthly ROI (₦)]], AND(InvestorTable[[#This Row],[Investor Tally '#]] = 'Payment Tracker'!$A833, 'Payment Tracker'!$C833="Capital") = TRUE, InvestorTable[[#This Row],[Investment Capital (₦)]], AND(InvestorTable[[#This Row],[Investor Tally '#]] = 'Payment Tracker'!$A833, 'Payment Tracker'!$C833="Refund") = TRUE, InvestorTable[[#This Row],[Investment Capital (₦)]] )</f>
        <v>#N/A</v>
      </c>
      <c r="E833" s="15"/>
      <c r="F833" s="14"/>
      <c r="G833" s="14"/>
      <c r="H833" s="14"/>
    </row>
    <row r="834" spans="1:8" x14ac:dyDescent="0.3">
      <c r="A834" s="13"/>
      <c r="B834" s="16">
        <f>IF($A834=InvestorTable[[#This Row],[Investor Tally '#]],InvestorTable[[#This Row],[Investor Name]], NA())</f>
        <v>0</v>
      </c>
      <c r="C834" s="14"/>
      <c r="D834" s="17" t="e" cm="1">
        <f t="array" ref="D834">_xlfn.IFS(AND(InvestorTable[[#This Row],[Investor Tally '#]] = 'Payment Tracker'!$A834, 'Payment Tracker'!$C834="Dividend") = TRUE, InvestorTable[[#This Row],[Monthly ROI (₦)]], AND(InvestorTable[[#This Row],[Investor Tally '#]] = 'Payment Tracker'!$A834, 'Payment Tracker'!$C834="Capital") = TRUE, InvestorTable[[#This Row],[Investment Capital (₦)]], AND(InvestorTable[[#This Row],[Investor Tally '#]] = 'Payment Tracker'!$A834, 'Payment Tracker'!$C834="Refund") = TRUE, InvestorTable[[#This Row],[Investment Capital (₦)]] )</f>
        <v>#N/A</v>
      </c>
      <c r="E834" s="15"/>
      <c r="F834" s="14"/>
      <c r="G834" s="14"/>
      <c r="H834" s="14"/>
    </row>
    <row r="835" spans="1:8" x14ac:dyDescent="0.3">
      <c r="A835" s="13"/>
      <c r="B835" s="16">
        <f>IF($A835=InvestorTable[[#This Row],[Investor Tally '#]],InvestorTable[[#This Row],[Investor Name]], NA())</f>
        <v>0</v>
      </c>
      <c r="C835" s="14"/>
      <c r="D835" s="17" t="e" cm="1">
        <f t="array" ref="D835">_xlfn.IFS(AND(InvestorTable[[#This Row],[Investor Tally '#]] = 'Payment Tracker'!$A835, 'Payment Tracker'!$C835="Dividend") = TRUE, InvestorTable[[#This Row],[Monthly ROI (₦)]], AND(InvestorTable[[#This Row],[Investor Tally '#]] = 'Payment Tracker'!$A835, 'Payment Tracker'!$C835="Capital") = TRUE, InvestorTable[[#This Row],[Investment Capital (₦)]], AND(InvestorTable[[#This Row],[Investor Tally '#]] = 'Payment Tracker'!$A835, 'Payment Tracker'!$C835="Refund") = TRUE, InvestorTable[[#This Row],[Investment Capital (₦)]] )</f>
        <v>#N/A</v>
      </c>
      <c r="E835" s="15"/>
      <c r="F835" s="14"/>
      <c r="G835" s="14"/>
      <c r="H835" s="14"/>
    </row>
    <row r="836" spans="1:8" x14ac:dyDescent="0.3">
      <c r="A836" s="13"/>
      <c r="B836" s="16">
        <f>IF($A836=InvestorTable[[#This Row],[Investor Tally '#]],InvestorTable[[#This Row],[Investor Name]], NA())</f>
        <v>0</v>
      </c>
      <c r="C836" s="14"/>
      <c r="D836" s="17" t="e" cm="1">
        <f t="array" ref="D836">_xlfn.IFS(AND(InvestorTable[[#This Row],[Investor Tally '#]] = 'Payment Tracker'!$A836, 'Payment Tracker'!$C836="Dividend") = TRUE, InvestorTable[[#This Row],[Monthly ROI (₦)]], AND(InvestorTable[[#This Row],[Investor Tally '#]] = 'Payment Tracker'!$A836, 'Payment Tracker'!$C836="Capital") = TRUE, InvestorTable[[#This Row],[Investment Capital (₦)]], AND(InvestorTable[[#This Row],[Investor Tally '#]] = 'Payment Tracker'!$A836, 'Payment Tracker'!$C836="Refund") = TRUE, InvestorTable[[#This Row],[Investment Capital (₦)]] )</f>
        <v>#N/A</v>
      </c>
      <c r="E836" s="15"/>
      <c r="F836" s="14"/>
      <c r="G836" s="14"/>
      <c r="H836" s="14"/>
    </row>
    <row r="837" spans="1:8" x14ac:dyDescent="0.3">
      <c r="A837" s="13"/>
      <c r="B837" s="16">
        <f>IF($A837=InvestorTable[[#This Row],[Investor Tally '#]],InvestorTable[[#This Row],[Investor Name]], NA())</f>
        <v>0</v>
      </c>
      <c r="C837" s="14"/>
      <c r="D837" s="17" t="e" cm="1">
        <f t="array" ref="D837">_xlfn.IFS(AND(InvestorTable[[#This Row],[Investor Tally '#]] = 'Payment Tracker'!$A837, 'Payment Tracker'!$C837="Dividend") = TRUE, InvestorTable[[#This Row],[Monthly ROI (₦)]], AND(InvestorTable[[#This Row],[Investor Tally '#]] = 'Payment Tracker'!$A837, 'Payment Tracker'!$C837="Capital") = TRUE, InvestorTable[[#This Row],[Investment Capital (₦)]], AND(InvestorTable[[#This Row],[Investor Tally '#]] = 'Payment Tracker'!$A837, 'Payment Tracker'!$C837="Refund") = TRUE, InvestorTable[[#This Row],[Investment Capital (₦)]] )</f>
        <v>#N/A</v>
      </c>
      <c r="E837" s="15"/>
      <c r="F837" s="14"/>
      <c r="G837" s="14"/>
      <c r="H837" s="14"/>
    </row>
    <row r="838" spans="1:8" x14ac:dyDescent="0.3">
      <c r="A838" s="13"/>
      <c r="B838" s="16">
        <f>IF($A838=InvestorTable[[#This Row],[Investor Tally '#]],InvestorTable[[#This Row],[Investor Name]], NA())</f>
        <v>0</v>
      </c>
      <c r="C838" s="14"/>
      <c r="D838" s="17" t="e" cm="1">
        <f t="array" ref="D838">_xlfn.IFS(AND(InvestorTable[[#This Row],[Investor Tally '#]] = 'Payment Tracker'!$A838, 'Payment Tracker'!$C838="Dividend") = TRUE, InvestorTable[[#This Row],[Monthly ROI (₦)]], AND(InvestorTable[[#This Row],[Investor Tally '#]] = 'Payment Tracker'!$A838, 'Payment Tracker'!$C838="Capital") = TRUE, InvestorTable[[#This Row],[Investment Capital (₦)]], AND(InvestorTable[[#This Row],[Investor Tally '#]] = 'Payment Tracker'!$A838, 'Payment Tracker'!$C838="Refund") = TRUE, InvestorTable[[#This Row],[Investment Capital (₦)]] )</f>
        <v>#N/A</v>
      </c>
      <c r="E838" s="15"/>
      <c r="F838" s="14"/>
      <c r="G838" s="14"/>
      <c r="H838" s="14"/>
    </row>
    <row r="839" spans="1:8" x14ac:dyDescent="0.3">
      <c r="A839" s="13"/>
      <c r="B839" s="16">
        <f>IF($A839=InvestorTable[[#This Row],[Investor Tally '#]],InvestorTable[[#This Row],[Investor Name]], NA())</f>
        <v>0</v>
      </c>
      <c r="C839" s="14"/>
      <c r="D839" s="17" t="e" cm="1">
        <f t="array" ref="D839">_xlfn.IFS(AND(InvestorTable[[#This Row],[Investor Tally '#]] = 'Payment Tracker'!$A839, 'Payment Tracker'!$C839="Dividend") = TRUE, InvestorTable[[#This Row],[Monthly ROI (₦)]], AND(InvestorTable[[#This Row],[Investor Tally '#]] = 'Payment Tracker'!$A839, 'Payment Tracker'!$C839="Capital") = TRUE, InvestorTable[[#This Row],[Investment Capital (₦)]], AND(InvestorTable[[#This Row],[Investor Tally '#]] = 'Payment Tracker'!$A839, 'Payment Tracker'!$C839="Refund") = TRUE, InvestorTable[[#This Row],[Investment Capital (₦)]] )</f>
        <v>#N/A</v>
      </c>
      <c r="E839" s="15"/>
      <c r="F839" s="14"/>
      <c r="G839" s="14"/>
      <c r="H839" s="14"/>
    </row>
    <row r="840" spans="1:8" x14ac:dyDescent="0.3">
      <c r="A840" s="13"/>
      <c r="B840" s="16">
        <f>IF($A840=InvestorTable[[#This Row],[Investor Tally '#]],InvestorTable[[#This Row],[Investor Name]], NA())</f>
        <v>0</v>
      </c>
      <c r="C840" s="14"/>
      <c r="D840" s="17" t="e" cm="1">
        <f t="array" ref="D840">_xlfn.IFS(AND(InvestorTable[[#This Row],[Investor Tally '#]] = 'Payment Tracker'!$A840, 'Payment Tracker'!$C840="Dividend") = TRUE, InvestorTable[[#This Row],[Monthly ROI (₦)]], AND(InvestorTable[[#This Row],[Investor Tally '#]] = 'Payment Tracker'!$A840, 'Payment Tracker'!$C840="Capital") = TRUE, InvestorTable[[#This Row],[Investment Capital (₦)]], AND(InvestorTable[[#This Row],[Investor Tally '#]] = 'Payment Tracker'!$A840, 'Payment Tracker'!$C840="Refund") = TRUE, InvestorTable[[#This Row],[Investment Capital (₦)]] )</f>
        <v>#N/A</v>
      </c>
      <c r="E840" s="15"/>
      <c r="F840" s="14"/>
      <c r="G840" s="14"/>
      <c r="H840" s="14"/>
    </row>
    <row r="841" spans="1:8" x14ac:dyDescent="0.3">
      <c r="A841" s="13"/>
      <c r="B841" s="16">
        <f>IF($A841=InvestorTable[[#This Row],[Investor Tally '#]],InvestorTable[[#This Row],[Investor Name]], NA())</f>
        <v>0</v>
      </c>
      <c r="C841" s="14"/>
      <c r="D841" s="17" t="e" cm="1">
        <f t="array" ref="D841">_xlfn.IFS(AND(InvestorTable[[#This Row],[Investor Tally '#]] = 'Payment Tracker'!$A841, 'Payment Tracker'!$C841="Dividend") = TRUE, InvestorTable[[#This Row],[Monthly ROI (₦)]], AND(InvestorTable[[#This Row],[Investor Tally '#]] = 'Payment Tracker'!$A841, 'Payment Tracker'!$C841="Capital") = TRUE, InvestorTable[[#This Row],[Investment Capital (₦)]], AND(InvestorTable[[#This Row],[Investor Tally '#]] = 'Payment Tracker'!$A841, 'Payment Tracker'!$C841="Refund") = TRUE, InvestorTable[[#This Row],[Investment Capital (₦)]] )</f>
        <v>#N/A</v>
      </c>
      <c r="E841" s="15"/>
      <c r="F841" s="14"/>
      <c r="G841" s="14"/>
      <c r="H841" s="14"/>
    </row>
    <row r="842" spans="1:8" x14ac:dyDescent="0.3">
      <c r="A842" s="13"/>
      <c r="B842" s="16">
        <f>IF($A842=InvestorTable[[#This Row],[Investor Tally '#]],InvestorTable[[#This Row],[Investor Name]], NA())</f>
        <v>0</v>
      </c>
      <c r="C842" s="14"/>
      <c r="D842" s="17" t="e" cm="1">
        <f t="array" ref="D842">_xlfn.IFS(AND(InvestorTable[[#This Row],[Investor Tally '#]] = 'Payment Tracker'!$A842, 'Payment Tracker'!$C842="Dividend") = TRUE, InvestorTable[[#This Row],[Monthly ROI (₦)]], AND(InvestorTable[[#This Row],[Investor Tally '#]] = 'Payment Tracker'!$A842, 'Payment Tracker'!$C842="Capital") = TRUE, InvestorTable[[#This Row],[Investment Capital (₦)]], AND(InvestorTable[[#This Row],[Investor Tally '#]] = 'Payment Tracker'!$A842, 'Payment Tracker'!$C842="Refund") = TRUE, InvestorTable[[#This Row],[Investment Capital (₦)]] )</f>
        <v>#N/A</v>
      </c>
      <c r="E842" s="15"/>
      <c r="F842" s="14"/>
      <c r="G842" s="14"/>
      <c r="H842" s="14"/>
    </row>
    <row r="843" spans="1:8" x14ac:dyDescent="0.3">
      <c r="A843" s="13"/>
      <c r="B843" s="16">
        <f>IF($A843=InvestorTable[[#This Row],[Investor Tally '#]],InvestorTable[[#This Row],[Investor Name]], NA())</f>
        <v>0</v>
      </c>
      <c r="C843" s="14"/>
      <c r="D843" s="17" t="e" cm="1">
        <f t="array" ref="D843">_xlfn.IFS(AND(InvestorTable[[#This Row],[Investor Tally '#]] = 'Payment Tracker'!$A843, 'Payment Tracker'!$C843="Dividend") = TRUE, InvestorTable[[#This Row],[Monthly ROI (₦)]], AND(InvestorTable[[#This Row],[Investor Tally '#]] = 'Payment Tracker'!$A843, 'Payment Tracker'!$C843="Capital") = TRUE, InvestorTable[[#This Row],[Investment Capital (₦)]], AND(InvestorTable[[#This Row],[Investor Tally '#]] = 'Payment Tracker'!$A843, 'Payment Tracker'!$C843="Refund") = TRUE, InvestorTable[[#This Row],[Investment Capital (₦)]] )</f>
        <v>#N/A</v>
      </c>
      <c r="E843" s="15"/>
      <c r="F843" s="14"/>
      <c r="G843" s="14"/>
      <c r="H843" s="14"/>
    </row>
    <row r="844" spans="1:8" x14ac:dyDescent="0.3">
      <c r="A844" s="13"/>
      <c r="B844" s="16">
        <f>IF($A844=InvestorTable[[#This Row],[Investor Tally '#]],InvestorTable[[#This Row],[Investor Name]], NA())</f>
        <v>0</v>
      </c>
      <c r="C844" s="14"/>
      <c r="D844" s="17" t="e" cm="1">
        <f t="array" ref="D844">_xlfn.IFS(AND(InvestorTable[[#This Row],[Investor Tally '#]] = 'Payment Tracker'!$A844, 'Payment Tracker'!$C844="Dividend") = TRUE, InvestorTable[[#This Row],[Monthly ROI (₦)]], AND(InvestorTable[[#This Row],[Investor Tally '#]] = 'Payment Tracker'!$A844, 'Payment Tracker'!$C844="Capital") = TRUE, InvestorTable[[#This Row],[Investment Capital (₦)]], AND(InvestorTable[[#This Row],[Investor Tally '#]] = 'Payment Tracker'!$A844, 'Payment Tracker'!$C844="Refund") = TRUE, InvestorTable[[#This Row],[Investment Capital (₦)]] )</f>
        <v>#N/A</v>
      </c>
      <c r="E844" s="15"/>
      <c r="F844" s="14"/>
      <c r="G844" s="14"/>
      <c r="H844" s="14"/>
    </row>
    <row r="845" spans="1:8" x14ac:dyDescent="0.3">
      <c r="A845" s="13"/>
      <c r="B845" s="16">
        <f>IF($A845=InvestorTable[[#This Row],[Investor Tally '#]],InvestorTable[[#This Row],[Investor Name]], NA())</f>
        <v>0</v>
      </c>
      <c r="C845" s="14"/>
      <c r="D845" s="17" t="e" cm="1">
        <f t="array" ref="D845">_xlfn.IFS(AND(InvestorTable[[#This Row],[Investor Tally '#]] = 'Payment Tracker'!$A845, 'Payment Tracker'!$C845="Dividend") = TRUE, InvestorTable[[#This Row],[Monthly ROI (₦)]], AND(InvestorTable[[#This Row],[Investor Tally '#]] = 'Payment Tracker'!$A845, 'Payment Tracker'!$C845="Capital") = TRUE, InvestorTable[[#This Row],[Investment Capital (₦)]], AND(InvestorTable[[#This Row],[Investor Tally '#]] = 'Payment Tracker'!$A845, 'Payment Tracker'!$C845="Refund") = TRUE, InvestorTable[[#This Row],[Investment Capital (₦)]] )</f>
        <v>#N/A</v>
      </c>
      <c r="E845" s="15"/>
      <c r="F845" s="14"/>
      <c r="G845" s="14"/>
      <c r="H845" s="14"/>
    </row>
    <row r="846" spans="1:8" x14ac:dyDescent="0.3">
      <c r="A846" s="13"/>
      <c r="B846" s="16">
        <f>IF($A846=InvestorTable[[#This Row],[Investor Tally '#]],InvestorTable[[#This Row],[Investor Name]], NA())</f>
        <v>0</v>
      </c>
      <c r="C846" s="14"/>
      <c r="D846" s="17" t="e" cm="1">
        <f t="array" ref="D846">_xlfn.IFS(AND(InvestorTable[[#This Row],[Investor Tally '#]] = 'Payment Tracker'!$A846, 'Payment Tracker'!$C846="Dividend") = TRUE, InvestorTable[[#This Row],[Monthly ROI (₦)]], AND(InvestorTable[[#This Row],[Investor Tally '#]] = 'Payment Tracker'!$A846, 'Payment Tracker'!$C846="Capital") = TRUE, InvestorTable[[#This Row],[Investment Capital (₦)]], AND(InvestorTable[[#This Row],[Investor Tally '#]] = 'Payment Tracker'!$A846, 'Payment Tracker'!$C846="Refund") = TRUE, InvestorTable[[#This Row],[Investment Capital (₦)]] )</f>
        <v>#N/A</v>
      </c>
      <c r="E846" s="15"/>
      <c r="F846" s="14"/>
      <c r="G846" s="14"/>
      <c r="H846" s="14"/>
    </row>
    <row r="847" spans="1:8" x14ac:dyDescent="0.3">
      <c r="A847" s="13"/>
      <c r="B847" s="16">
        <f>IF($A847=InvestorTable[[#This Row],[Investor Tally '#]],InvestorTable[[#This Row],[Investor Name]], NA())</f>
        <v>0</v>
      </c>
      <c r="C847" s="14"/>
      <c r="D847" s="17" t="e" cm="1">
        <f t="array" ref="D847">_xlfn.IFS(AND(InvestorTable[[#This Row],[Investor Tally '#]] = 'Payment Tracker'!$A847, 'Payment Tracker'!$C847="Dividend") = TRUE, InvestorTable[[#This Row],[Monthly ROI (₦)]], AND(InvestorTable[[#This Row],[Investor Tally '#]] = 'Payment Tracker'!$A847, 'Payment Tracker'!$C847="Capital") = TRUE, InvestorTable[[#This Row],[Investment Capital (₦)]], AND(InvestorTable[[#This Row],[Investor Tally '#]] = 'Payment Tracker'!$A847, 'Payment Tracker'!$C847="Refund") = TRUE, InvestorTable[[#This Row],[Investment Capital (₦)]] )</f>
        <v>#N/A</v>
      </c>
      <c r="E847" s="15"/>
      <c r="F847" s="14"/>
      <c r="G847" s="14"/>
      <c r="H847" s="14"/>
    </row>
    <row r="848" spans="1:8" x14ac:dyDescent="0.3">
      <c r="A848" s="13"/>
      <c r="B848" s="16">
        <f>IF($A848=InvestorTable[[#This Row],[Investor Tally '#]],InvestorTable[[#This Row],[Investor Name]], NA())</f>
        <v>0</v>
      </c>
      <c r="C848" s="14"/>
      <c r="D848" s="17" t="e" cm="1">
        <f t="array" ref="D848">_xlfn.IFS(AND(InvestorTable[[#This Row],[Investor Tally '#]] = 'Payment Tracker'!$A848, 'Payment Tracker'!$C848="Dividend") = TRUE, InvestorTable[[#This Row],[Monthly ROI (₦)]], AND(InvestorTable[[#This Row],[Investor Tally '#]] = 'Payment Tracker'!$A848, 'Payment Tracker'!$C848="Capital") = TRUE, InvestorTable[[#This Row],[Investment Capital (₦)]], AND(InvestorTable[[#This Row],[Investor Tally '#]] = 'Payment Tracker'!$A848, 'Payment Tracker'!$C848="Refund") = TRUE, InvestorTable[[#This Row],[Investment Capital (₦)]] )</f>
        <v>#N/A</v>
      </c>
      <c r="E848" s="15"/>
      <c r="F848" s="14"/>
      <c r="G848" s="14"/>
      <c r="H848" s="14"/>
    </row>
    <row r="849" spans="1:8" x14ac:dyDescent="0.3">
      <c r="A849" s="13"/>
      <c r="B849" s="16">
        <f>IF($A849=InvestorTable[[#This Row],[Investor Tally '#]],InvestorTable[[#This Row],[Investor Name]], NA())</f>
        <v>0</v>
      </c>
      <c r="C849" s="14"/>
      <c r="D849" s="17" t="e" cm="1">
        <f t="array" ref="D849">_xlfn.IFS(AND(InvestorTable[[#This Row],[Investor Tally '#]] = 'Payment Tracker'!$A849, 'Payment Tracker'!$C849="Dividend") = TRUE, InvestorTable[[#This Row],[Monthly ROI (₦)]], AND(InvestorTable[[#This Row],[Investor Tally '#]] = 'Payment Tracker'!$A849, 'Payment Tracker'!$C849="Capital") = TRUE, InvestorTable[[#This Row],[Investment Capital (₦)]], AND(InvestorTable[[#This Row],[Investor Tally '#]] = 'Payment Tracker'!$A849, 'Payment Tracker'!$C849="Refund") = TRUE, InvestorTable[[#This Row],[Investment Capital (₦)]] )</f>
        <v>#N/A</v>
      </c>
      <c r="E849" s="15"/>
      <c r="F849" s="14"/>
      <c r="G849" s="14"/>
      <c r="H849" s="14"/>
    </row>
    <row r="850" spans="1:8" x14ac:dyDescent="0.3">
      <c r="A850" s="13"/>
      <c r="B850" s="16">
        <f>IF($A850=InvestorTable[[#This Row],[Investor Tally '#]],InvestorTable[[#This Row],[Investor Name]], NA())</f>
        <v>0</v>
      </c>
      <c r="C850" s="14"/>
      <c r="D850" s="17" t="e" cm="1">
        <f t="array" ref="D850">_xlfn.IFS(AND(InvestorTable[[#This Row],[Investor Tally '#]] = 'Payment Tracker'!$A850, 'Payment Tracker'!$C850="Dividend") = TRUE, InvestorTable[[#This Row],[Monthly ROI (₦)]], AND(InvestorTable[[#This Row],[Investor Tally '#]] = 'Payment Tracker'!$A850, 'Payment Tracker'!$C850="Capital") = TRUE, InvestorTable[[#This Row],[Investment Capital (₦)]], AND(InvestorTable[[#This Row],[Investor Tally '#]] = 'Payment Tracker'!$A850, 'Payment Tracker'!$C850="Refund") = TRUE, InvestorTable[[#This Row],[Investment Capital (₦)]] )</f>
        <v>#N/A</v>
      </c>
      <c r="E850" s="15"/>
      <c r="F850" s="14"/>
      <c r="G850" s="14"/>
      <c r="H850" s="14"/>
    </row>
    <row r="851" spans="1:8" x14ac:dyDescent="0.3">
      <c r="A851" s="13"/>
      <c r="B851" s="16">
        <f>IF($A851=InvestorTable[[#This Row],[Investor Tally '#]],InvestorTable[[#This Row],[Investor Name]], NA())</f>
        <v>0</v>
      </c>
      <c r="C851" s="14"/>
      <c r="D851" s="17" t="e" cm="1">
        <f t="array" ref="D851">_xlfn.IFS(AND(InvestorTable[[#This Row],[Investor Tally '#]] = 'Payment Tracker'!$A851, 'Payment Tracker'!$C851="Dividend") = TRUE, InvestorTable[[#This Row],[Monthly ROI (₦)]], AND(InvestorTable[[#This Row],[Investor Tally '#]] = 'Payment Tracker'!$A851, 'Payment Tracker'!$C851="Capital") = TRUE, InvestorTable[[#This Row],[Investment Capital (₦)]], AND(InvestorTable[[#This Row],[Investor Tally '#]] = 'Payment Tracker'!$A851, 'Payment Tracker'!$C851="Refund") = TRUE, InvestorTable[[#This Row],[Investment Capital (₦)]] )</f>
        <v>#N/A</v>
      </c>
      <c r="E851" s="15"/>
      <c r="F851" s="14"/>
      <c r="G851" s="14"/>
      <c r="H851" s="14"/>
    </row>
    <row r="852" spans="1:8" x14ac:dyDescent="0.3">
      <c r="A852" s="13"/>
      <c r="B852" s="16">
        <f>IF($A852=InvestorTable[[#This Row],[Investor Tally '#]],InvestorTable[[#This Row],[Investor Name]], NA())</f>
        <v>0</v>
      </c>
      <c r="C852" s="14"/>
      <c r="D852" s="17" t="e" cm="1">
        <f t="array" ref="D852">_xlfn.IFS(AND(InvestorTable[[#This Row],[Investor Tally '#]] = 'Payment Tracker'!$A852, 'Payment Tracker'!$C852="Dividend") = TRUE, InvestorTable[[#This Row],[Monthly ROI (₦)]], AND(InvestorTable[[#This Row],[Investor Tally '#]] = 'Payment Tracker'!$A852, 'Payment Tracker'!$C852="Capital") = TRUE, InvestorTable[[#This Row],[Investment Capital (₦)]], AND(InvestorTable[[#This Row],[Investor Tally '#]] = 'Payment Tracker'!$A852, 'Payment Tracker'!$C852="Refund") = TRUE, InvestorTable[[#This Row],[Investment Capital (₦)]] )</f>
        <v>#N/A</v>
      </c>
      <c r="E852" s="15"/>
      <c r="F852" s="14"/>
      <c r="G852" s="14"/>
      <c r="H852" s="14"/>
    </row>
    <row r="853" spans="1:8" x14ac:dyDescent="0.3">
      <c r="A853" s="13"/>
      <c r="B853" s="16">
        <f>IF($A853=InvestorTable[[#This Row],[Investor Tally '#]],InvestorTable[[#This Row],[Investor Name]], NA())</f>
        <v>0</v>
      </c>
      <c r="C853" s="14"/>
      <c r="D853" s="17" t="e" cm="1">
        <f t="array" ref="D853">_xlfn.IFS(AND(InvestorTable[[#This Row],[Investor Tally '#]] = 'Payment Tracker'!$A853, 'Payment Tracker'!$C853="Dividend") = TRUE, InvestorTable[[#This Row],[Monthly ROI (₦)]], AND(InvestorTable[[#This Row],[Investor Tally '#]] = 'Payment Tracker'!$A853, 'Payment Tracker'!$C853="Capital") = TRUE, InvestorTable[[#This Row],[Investment Capital (₦)]], AND(InvestorTable[[#This Row],[Investor Tally '#]] = 'Payment Tracker'!$A853, 'Payment Tracker'!$C853="Refund") = TRUE, InvestorTable[[#This Row],[Investment Capital (₦)]] )</f>
        <v>#N/A</v>
      </c>
      <c r="E853" s="15"/>
      <c r="F853" s="14"/>
      <c r="G853" s="14"/>
      <c r="H853" s="14"/>
    </row>
    <row r="854" spans="1:8" x14ac:dyDescent="0.3">
      <c r="A854" s="13"/>
      <c r="B854" s="16">
        <f>IF($A854=InvestorTable[[#This Row],[Investor Tally '#]],InvestorTable[[#This Row],[Investor Name]], NA())</f>
        <v>0</v>
      </c>
      <c r="C854" s="14"/>
      <c r="D854" s="17" t="e" cm="1">
        <f t="array" ref="D854">_xlfn.IFS(AND(InvestorTable[[#This Row],[Investor Tally '#]] = 'Payment Tracker'!$A854, 'Payment Tracker'!$C854="Dividend") = TRUE, InvestorTable[[#This Row],[Monthly ROI (₦)]], AND(InvestorTable[[#This Row],[Investor Tally '#]] = 'Payment Tracker'!$A854, 'Payment Tracker'!$C854="Capital") = TRUE, InvestorTable[[#This Row],[Investment Capital (₦)]], AND(InvestorTable[[#This Row],[Investor Tally '#]] = 'Payment Tracker'!$A854, 'Payment Tracker'!$C854="Refund") = TRUE, InvestorTable[[#This Row],[Investment Capital (₦)]] )</f>
        <v>#N/A</v>
      </c>
      <c r="E854" s="15"/>
      <c r="F854" s="14"/>
      <c r="G854" s="14"/>
      <c r="H854" s="14"/>
    </row>
    <row r="855" spans="1:8" x14ac:dyDescent="0.3">
      <c r="A855" s="13"/>
      <c r="B855" s="16">
        <f>IF($A855=InvestorTable[[#This Row],[Investor Tally '#]],InvestorTable[[#This Row],[Investor Name]], NA())</f>
        <v>0</v>
      </c>
      <c r="C855" s="14"/>
      <c r="D855" s="17" t="e" cm="1">
        <f t="array" ref="D855">_xlfn.IFS(AND(InvestorTable[[#This Row],[Investor Tally '#]] = 'Payment Tracker'!$A855, 'Payment Tracker'!$C855="Dividend") = TRUE, InvestorTable[[#This Row],[Monthly ROI (₦)]], AND(InvestorTable[[#This Row],[Investor Tally '#]] = 'Payment Tracker'!$A855, 'Payment Tracker'!$C855="Capital") = TRUE, InvestorTable[[#This Row],[Investment Capital (₦)]], AND(InvestorTable[[#This Row],[Investor Tally '#]] = 'Payment Tracker'!$A855, 'Payment Tracker'!$C855="Refund") = TRUE, InvestorTable[[#This Row],[Investment Capital (₦)]] )</f>
        <v>#N/A</v>
      </c>
      <c r="E855" s="15"/>
      <c r="F855" s="14"/>
      <c r="G855" s="14"/>
      <c r="H855" s="14"/>
    </row>
    <row r="856" spans="1:8" x14ac:dyDescent="0.3">
      <c r="A856" s="13"/>
      <c r="B856" s="16">
        <f>IF($A856=InvestorTable[[#This Row],[Investor Tally '#]],InvestorTable[[#This Row],[Investor Name]], NA())</f>
        <v>0</v>
      </c>
      <c r="C856" s="14"/>
      <c r="D856" s="17" t="e" cm="1">
        <f t="array" ref="D856">_xlfn.IFS(AND(InvestorTable[[#This Row],[Investor Tally '#]] = 'Payment Tracker'!$A856, 'Payment Tracker'!$C856="Dividend") = TRUE, InvestorTable[[#This Row],[Monthly ROI (₦)]], AND(InvestorTable[[#This Row],[Investor Tally '#]] = 'Payment Tracker'!$A856, 'Payment Tracker'!$C856="Capital") = TRUE, InvestorTable[[#This Row],[Investment Capital (₦)]], AND(InvestorTable[[#This Row],[Investor Tally '#]] = 'Payment Tracker'!$A856, 'Payment Tracker'!$C856="Refund") = TRUE, InvestorTable[[#This Row],[Investment Capital (₦)]] )</f>
        <v>#N/A</v>
      </c>
      <c r="E856" s="15"/>
      <c r="F856" s="14"/>
      <c r="G856" s="14"/>
      <c r="H856" s="14"/>
    </row>
    <row r="857" spans="1:8" x14ac:dyDescent="0.3">
      <c r="A857" s="13"/>
      <c r="B857" s="16">
        <f>IF($A857=InvestorTable[[#This Row],[Investor Tally '#]],InvestorTable[[#This Row],[Investor Name]], NA())</f>
        <v>0</v>
      </c>
      <c r="C857" s="14"/>
      <c r="D857" s="17" t="e" cm="1">
        <f t="array" ref="D857">_xlfn.IFS(AND(InvestorTable[[#This Row],[Investor Tally '#]] = 'Payment Tracker'!$A857, 'Payment Tracker'!$C857="Dividend") = TRUE, InvestorTable[[#This Row],[Monthly ROI (₦)]], AND(InvestorTable[[#This Row],[Investor Tally '#]] = 'Payment Tracker'!$A857, 'Payment Tracker'!$C857="Capital") = TRUE, InvestorTable[[#This Row],[Investment Capital (₦)]], AND(InvestorTable[[#This Row],[Investor Tally '#]] = 'Payment Tracker'!$A857, 'Payment Tracker'!$C857="Refund") = TRUE, InvestorTable[[#This Row],[Investment Capital (₦)]] )</f>
        <v>#N/A</v>
      </c>
      <c r="E857" s="15"/>
      <c r="F857" s="14"/>
      <c r="G857" s="14"/>
      <c r="H857" s="14"/>
    </row>
    <row r="858" spans="1:8" x14ac:dyDescent="0.3">
      <c r="A858" s="13"/>
      <c r="B858" s="16">
        <f>IF($A858=InvestorTable[[#This Row],[Investor Tally '#]],InvestorTable[[#This Row],[Investor Name]], NA())</f>
        <v>0</v>
      </c>
      <c r="C858" s="14"/>
      <c r="D858" s="17" t="e" cm="1">
        <f t="array" ref="D858">_xlfn.IFS(AND(InvestorTable[[#This Row],[Investor Tally '#]] = 'Payment Tracker'!$A858, 'Payment Tracker'!$C858="Dividend") = TRUE, InvestorTable[[#This Row],[Monthly ROI (₦)]], AND(InvestorTable[[#This Row],[Investor Tally '#]] = 'Payment Tracker'!$A858, 'Payment Tracker'!$C858="Capital") = TRUE, InvestorTable[[#This Row],[Investment Capital (₦)]], AND(InvestorTable[[#This Row],[Investor Tally '#]] = 'Payment Tracker'!$A858, 'Payment Tracker'!$C858="Refund") = TRUE, InvestorTable[[#This Row],[Investment Capital (₦)]] )</f>
        <v>#N/A</v>
      </c>
      <c r="E858" s="15"/>
      <c r="F858" s="14"/>
      <c r="G858" s="14"/>
      <c r="H858" s="14"/>
    </row>
    <row r="859" spans="1:8" x14ac:dyDescent="0.3">
      <c r="A859" s="13"/>
      <c r="B859" s="16">
        <f>IF($A859=InvestorTable[[#This Row],[Investor Tally '#]],InvestorTable[[#This Row],[Investor Name]], NA())</f>
        <v>0</v>
      </c>
      <c r="C859" s="14"/>
      <c r="D859" s="17" t="e" cm="1">
        <f t="array" ref="D859">_xlfn.IFS(AND(InvestorTable[[#This Row],[Investor Tally '#]] = 'Payment Tracker'!$A859, 'Payment Tracker'!$C859="Dividend") = TRUE, InvestorTable[[#This Row],[Monthly ROI (₦)]], AND(InvestorTable[[#This Row],[Investor Tally '#]] = 'Payment Tracker'!$A859, 'Payment Tracker'!$C859="Capital") = TRUE, InvestorTable[[#This Row],[Investment Capital (₦)]], AND(InvestorTable[[#This Row],[Investor Tally '#]] = 'Payment Tracker'!$A859, 'Payment Tracker'!$C859="Refund") = TRUE, InvestorTable[[#This Row],[Investment Capital (₦)]] )</f>
        <v>#N/A</v>
      </c>
      <c r="E859" s="15"/>
      <c r="F859" s="14"/>
      <c r="G859" s="14"/>
      <c r="H859" s="14"/>
    </row>
    <row r="860" spans="1:8" x14ac:dyDescent="0.3">
      <c r="A860" s="13"/>
      <c r="B860" s="16">
        <f>IF($A860=InvestorTable[[#This Row],[Investor Tally '#]],InvestorTable[[#This Row],[Investor Name]], NA())</f>
        <v>0</v>
      </c>
      <c r="C860" s="14"/>
      <c r="D860" s="17" t="e" cm="1">
        <f t="array" ref="D860">_xlfn.IFS(AND(InvestorTable[[#This Row],[Investor Tally '#]] = 'Payment Tracker'!$A860, 'Payment Tracker'!$C860="Dividend") = TRUE, InvestorTable[[#This Row],[Monthly ROI (₦)]], AND(InvestorTable[[#This Row],[Investor Tally '#]] = 'Payment Tracker'!$A860, 'Payment Tracker'!$C860="Capital") = TRUE, InvestorTable[[#This Row],[Investment Capital (₦)]], AND(InvestorTable[[#This Row],[Investor Tally '#]] = 'Payment Tracker'!$A860, 'Payment Tracker'!$C860="Refund") = TRUE, InvestorTable[[#This Row],[Investment Capital (₦)]] )</f>
        <v>#N/A</v>
      </c>
      <c r="E860" s="15"/>
      <c r="F860" s="14"/>
      <c r="G860" s="14"/>
      <c r="H860" s="14"/>
    </row>
    <row r="861" spans="1:8" x14ac:dyDescent="0.3">
      <c r="A861" s="13"/>
      <c r="B861" s="16">
        <f>IF($A861=InvestorTable[[#This Row],[Investor Tally '#]],InvestorTable[[#This Row],[Investor Name]], NA())</f>
        <v>0</v>
      </c>
      <c r="C861" s="14"/>
      <c r="D861" s="17" t="e" cm="1">
        <f t="array" ref="D861">_xlfn.IFS(AND(InvestorTable[[#This Row],[Investor Tally '#]] = 'Payment Tracker'!$A861, 'Payment Tracker'!$C861="Dividend") = TRUE, InvestorTable[[#This Row],[Monthly ROI (₦)]], AND(InvestorTable[[#This Row],[Investor Tally '#]] = 'Payment Tracker'!$A861, 'Payment Tracker'!$C861="Capital") = TRUE, InvestorTable[[#This Row],[Investment Capital (₦)]], AND(InvestorTable[[#This Row],[Investor Tally '#]] = 'Payment Tracker'!$A861, 'Payment Tracker'!$C861="Refund") = TRUE, InvestorTable[[#This Row],[Investment Capital (₦)]] )</f>
        <v>#N/A</v>
      </c>
      <c r="E861" s="15"/>
      <c r="F861" s="14"/>
      <c r="G861" s="14"/>
      <c r="H861" s="14"/>
    </row>
    <row r="862" spans="1:8" x14ac:dyDescent="0.3">
      <c r="A862" s="13"/>
      <c r="B862" s="16">
        <f>IF($A862=InvestorTable[[#This Row],[Investor Tally '#]],InvestorTable[[#This Row],[Investor Name]], NA())</f>
        <v>0</v>
      </c>
      <c r="C862" s="14"/>
      <c r="D862" s="17" t="e" cm="1">
        <f t="array" ref="D862">_xlfn.IFS(AND(InvestorTable[[#This Row],[Investor Tally '#]] = 'Payment Tracker'!$A862, 'Payment Tracker'!$C862="Dividend") = TRUE, InvestorTable[[#This Row],[Monthly ROI (₦)]], AND(InvestorTable[[#This Row],[Investor Tally '#]] = 'Payment Tracker'!$A862, 'Payment Tracker'!$C862="Capital") = TRUE, InvestorTable[[#This Row],[Investment Capital (₦)]], AND(InvestorTable[[#This Row],[Investor Tally '#]] = 'Payment Tracker'!$A862, 'Payment Tracker'!$C862="Refund") = TRUE, InvestorTable[[#This Row],[Investment Capital (₦)]] )</f>
        <v>#N/A</v>
      </c>
      <c r="E862" s="15"/>
      <c r="F862" s="14"/>
      <c r="G862" s="14"/>
      <c r="H862" s="14"/>
    </row>
    <row r="863" spans="1:8" x14ac:dyDescent="0.3">
      <c r="A863" s="13"/>
      <c r="B863" s="16">
        <f>IF($A863=InvestorTable[[#This Row],[Investor Tally '#]],InvestorTable[[#This Row],[Investor Name]], NA())</f>
        <v>0</v>
      </c>
      <c r="C863" s="14"/>
      <c r="D863" s="17" t="e" cm="1">
        <f t="array" ref="D863">_xlfn.IFS(AND(InvestorTable[[#This Row],[Investor Tally '#]] = 'Payment Tracker'!$A863, 'Payment Tracker'!$C863="Dividend") = TRUE, InvestorTable[[#This Row],[Monthly ROI (₦)]], AND(InvestorTable[[#This Row],[Investor Tally '#]] = 'Payment Tracker'!$A863, 'Payment Tracker'!$C863="Capital") = TRUE, InvestorTable[[#This Row],[Investment Capital (₦)]], AND(InvestorTable[[#This Row],[Investor Tally '#]] = 'Payment Tracker'!$A863, 'Payment Tracker'!$C863="Refund") = TRUE, InvestorTable[[#This Row],[Investment Capital (₦)]] )</f>
        <v>#N/A</v>
      </c>
      <c r="E863" s="15"/>
      <c r="F863" s="14"/>
      <c r="G863" s="14"/>
      <c r="H863" s="14"/>
    </row>
    <row r="864" spans="1:8" x14ac:dyDescent="0.3">
      <c r="A864" s="13"/>
      <c r="B864" s="16">
        <f>IF($A864=InvestorTable[[#This Row],[Investor Tally '#]],InvestorTable[[#This Row],[Investor Name]], NA())</f>
        <v>0</v>
      </c>
      <c r="C864" s="14"/>
      <c r="D864" s="17" t="e" cm="1">
        <f t="array" ref="D864">_xlfn.IFS(AND(InvestorTable[[#This Row],[Investor Tally '#]] = 'Payment Tracker'!$A864, 'Payment Tracker'!$C864="Dividend") = TRUE, InvestorTable[[#This Row],[Monthly ROI (₦)]], AND(InvestorTable[[#This Row],[Investor Tally '#]] = 'Payment Tracker'!$A864, 'Payment Tracker'!$C864="Capital") = TRUE, InvestorTable[[#This Row],[Investment Capital (₦)]], AND(InvestorTable[[#This Row],[Investor Tally '#]] = 'Payment Tracker'!$A864, 'Payment Tracker'!$C864="Refund") = TRUE, InvestorTable[[#This Row],[Investment Capital (₦)]] )</f>
        <v>#N/A</v>
      </c>
      <c r="E864" s="15"/>
      <c r="F864" s="14"/>
      <c r="G864" s="14"/>
      <c r="H864" s="14"/>
    </row>
    <row r="865" spans="1:8" x14ac:dyDescent="0.3">
      <c r="A865" s="13"/>
      <c r="B865" s="16">
        <f>IF($A865=InvestorTable[[#This Row],[Investor Tally '#]],InvestorTable[[#This Row],[Investor Name]], NA())</f>
        <v>0</v>
      </c>
      <c r="C865" s="14"/>
      <c r="D865" s="17" t="e" cm="1">
        <f t="array" ref="D865">_xlfn.IFS(AND(InvestorTable[[#This Row],[Investor Tally '#]] = 'Payment Tracker'!$A865, 'Payment Tracker'!$C865="Dividend") = TRUE, InvestorTable[[#This Row],[Monthly ROI (₦)]], AND(InvestorTable[[#This Row],[Investor Tally '#]] = 'Payment Tracker'!$A865, 'Payment Tracker'!$C865="Capital") = TRUE, InvestorTable[[#This Row],[Investment Capital (₦)]], AND(InvestorTable[[#This Row],[Investor Tally '#]] = 'Payment Tracker'!$A865, 'Payment Tracker'!$C865="Refund") = TRUE, InvestorTable[[#This Row],[Investment Capital (₦)]] )</f>
        <v>#N/A</v>
      </c>
      <c r="E865" s="15"/>
      <c r="F865" s="14"/>
      <c r="G865" s="14"/>
      <c r="H865" s="14"/>
    </row>
    <row r="866" spans="1:8" x14ac:dyDescent="0.3">
      <c r="A866" s="13"/>
      <c r="B866" s="16">
        <f>IF($A866=InvestorTable[[#This Row],[Investor Tally '#]],InvestorTable[[#This Row],[Investor Name]], NA())</f>
        <v>0</v>
      </c>
      <c r="C866" s="14"/>
      <c r="D866" s="17" t="e" cm="1">
        <f t="array" ref="D866">_xlfn.IFS(AND(InvestorTable[[#This Row],[Investor Tally '#]] = 'Payment Tracker'!$A866, 'Payment Tracker'!$C866="Dividend") = TRUE, InvestorTable[[#This Row],[Monthly ROI (₦)]], AND(InvestorTable[[#This Row],[Investor Tally '#]] = 'Payment Tracker'!$A866, 'Payment Tracker'!$C866="Capital") = TRUE, InvestorTable[[#This Row],[Investment Capital (₦)]], AND(InvestorTable[[#This Row],[Investor Tally '#]] = 'Payment Tracker'!$A866, 'Payment Tracker'!$C866="Refund") = TRUE, InvestorTable[[#This Row],[Investment Capital (₦)]] )</f>
        <v>#N/A</v>
      </c>
      <c r="E866" s="15"/>
      <c r="F866" s="14"/>
      <c r="G866" s="14"/>
      <c r="H866" s="14"/>
    </row>
    <row r="867" spans="1:8" x14ac:dyDescent="0.3">
      <c r="A867" s="13"/>
      <c r="B867" s="16">
        <f>IF($A867=InvestorTable[[#This Row],[Investor Tally '#]],InvestorTable[[#This Row],[Investor Name]], NA())</f>
        <v>0</v>
      </c>
      <c r="C867" s="14"/>
      <c r="D867" s="17" t="e" cm="1">
        <f t="array" ref="D867">_xlfn.IFS(AND(InvestorTable[[#This Row],[Investor Tally '#]] = 'Payment Tracker'!$A867, 'Payment Tracker'!$C867="Dividend") = TRUE, InvestorTable[[#This Row],[Monthly ROI (₦)]], AND(InvestorTable[[#This Row],[Investor Tally '#]] = 'Payment Tracker'!$A867, 'Payment Tracker'!$C867="Capital") = TRUE, InvestorTable[[#This Row],[Investment Capital (₦)]], AND(InvestorTable[[#This Row],[Investor Tally '#]] = 'Payment Tracker'!$A867, 'Payment Tracker'!$C867="Refund") = TRUE, InvestorTable[[#This Row],[Investment Capital (₦)]] )</f>
        <v>#N/A</v>
      </c>
      <c r="E867" s="15"/>
      <c r="F867" s="14"/>
      <c r="G867" s="14"/>
      <c r="H867" s="14"/>
    </row>
    <row r="868" spans="1:8" x14ac:dyDescent="0.3">
      <c r="A868" s="13"/>
      <c r="B868" s="16">
        <f>IF($A868=InvestorTable[[#This Row],[Investor Tally '#]],InvestorTable[[#This Row],[Investor Name]], NA())</f>
        <v>0</v>
      </c>
      <c r="C868" s="14"/>
      <c r="D868" s="17" t="e" cm="1">
        <f t="array" ref="D868">_xlfn.IFS(AND(InvestorTable[[#This Row],[Investor Tally '#]] = 'Payment Tracker'!$A868, 'Payment Tracker'!$C868="Dividend") = TRUE, InvestorTable[[#This Row],[Monthly ROI (₦)]], AND(InvestorTable[[#This Row],[Investor Tally '#]] = 'Payment Tracker'!$A868, 'Payment Tracker'!$C868="Capital") = TRUE, InvestorTable[[#This Row],[Investment Capital (₦)]], AND(InvestorTable[[#This Row],[Investor Tally '#]] = 'Payment Tracker'!$A868, 'Payment Tracker'!$C868="Refund") = TRUE, InvestorTable[[#This Row],[Investment Capital (₦)]] )</f>
        <v>#N/A</v>
      </c>
      <c r="E868" s="15"/>
      <c r="F868" s="14"/>
      <c r="G868" s="14"/>
      <c r="H868" s="14"/>
    </row>
    <row r="869" spans="1:8" x14ac:dyDescent="0.3">
      <c r="A869" s="13"/>
      <c r="B869" s="16">
        <f>IF($A869=InvestorTable[[#This Row],[Investor Tally '#]],InvestorTable[[#This Row],[Investor Name]], NA())</f>
        <v>0</v>
      </c>
      <c r="C869" s="14"/>
      <c r="D869" s="17" t="e" cm="1">
        <f t="array" ref="D869">_xlfn.IFS(AND(InvestorTable[[#This Row],[Investor Tally '#]] = 'Payment Tracker'!$A869, 'Payment Tracker'!$C869="Dividend") = TRUE, InvestorTable[[#This Row],[Monthly ROI (₦)]], AND(InvestorTable[[#This Row],[Investor Tally '#]] = 'Payment Tracker'!$A869, 'Payment Tracker'!$C869="Capital") = TRUE, InvestorTable[[#This Row],[Investment Capital (₦)]], AND(InvestorTable[[#This Row],[Investor Tally '#]] = 'Payment Tracker'!$A869, 'Payment Tracker'!$C869="Refund") = TRUE, InvestorTable[[#This Row],[Investment Capital (₦)]] )</f>
        <v>#N/A</v>
      </c>
      <c r="E869" s="15"/>
      <c r="F869" s="14"/>
      <c r="G869" s="14"/>
      <c r="H869" s="14"/>
    </row>
    <row r="870" spans="1:8" x14ac:dyDescent="0.3">
      <c r="A870" s="13"/>
      <c r="B870" s="16">
        <f>IF($A870=InvestorTable[[#This Row],[Investor Tally '#]],InvestorTable[[#This Row],[Investor Name]], NA())</f>
        <v>0</v>
      </c>
      <c r="C870" s="14"/>
      <c r="D870" s="17" t="e" cm="1">
        <f t="array" ref="D870">_xlfn.IFS(AND(InvestorTable[[#This Row],[Investor Tally '#]] = 'Payment Tracker'!$A870, 'Payment Tracker'!$C870="Dividend") = TRUE, InvestorTable[[#This Row],[Monthly ROI (₦)]], AND(InvestorTable[[#This Row],[Investor Tally '#]] = 'Payment Tracker'!$A870, 'Payment Tracker'!$C870="Capital") = TRUE, InvestorTable[[#This Row],[Investment Capital (₦)]], AND(InvestorTable[[#This Row],[Investor Tally '#]] = 'Payment Tracker'!$A870, 'Payment Tracker'!$C870="Refund") = TRUE, InvestorTable[[#This Row],[Investment Capital (₦)]] )</f>
        <v>#N/A</v>
      </c>
      <c r="E870" s="15"/>
      <c r="F870" s="14"/>
      <c r="G870" s="14"/>
      <c r="H870" s="14"/>
    </row>
    <row r="871" spans="1:8" x14ac:dyDescent="0.3">
      <c r="A871" s="13"/>
      <c r="B871" s="16">
        <f>IF($A871=InvestorTable[[#This Row],[Investor Tally '#]],InvestorTable[[#This Row],[Investor Name]], NA())</f>
        <v>0</v>
      </c>
      <c r="C871" s="14"/>
      <c r="D871" s="17" t="e" cm="1">
        <f t="array" ref="D871">_xlfn.IFS(AND(InvestorTable[[#This Row],[Investor Tally '#]] = 'Payment Tracker'!$A871, 'Payment Tracker'!$C871="Dividend") = TRUE, InvestorTable[[#This Row],[Monthly ROI (₦)]], AND(InvestorTable[[#This Row],[Investor Tally '#]] = 'Payment Tracker'!$A871, 'Payment Tracker'!$C871="Capital") = TRUE, InvestorTable[[#This Row],[Investment Capital (₦)]], AND(InvestorTable[[#This Row],[Investor Tally '#]] = 'Payment Tracker'!$A871, 'Payment Tracker'!$C871="Refund") = TRUE, InvestorTable[[#This Row],[Investment Capital (₦)]] )</f>
        <v>#N/A</v>
      </c>
      <c r="E871" s="15"/>
      <c r="F871" s="14"/>
      <c r="G871" s="14"/>
      <c r="H871" s="14"/>
    </row>
    <row r="872" spans="1:8" x14ac:dyDescent="0.3">
      <c r="A872" s="13"/>
      <c r="B872" s="16">
        <f>IF($A872=InvestorTable[[#This Row],[Investor Tally '#]],InvestorTable[[#This Row],[Investor Name]], NA())</f>
        <v>0</v>
      </c>
      <c r="C872" s="14"/>
      <c r="D872" s="17" t="e" cm="1">
        <f t="array" ref="D872">_xlfn.IFS(AND(InvestorTable[[#This Row],[Investor Tally '#]] = 'Payment Tracker'!$A872, 'Payment Tracker'!$C872="Dividend") = TRUE, InvestorTable[[#This Row],[Monthly ROI (₦)]], AND(InvestorTable[[#This Row],[Investor Tally '#]] = 'Payment Tracker'!$A872, 'Payment Tracker'!$C872="Capital") = TRUE, InvestorTable[[#This Row],[Investment Capital (₦)]], AND(InvestorTable[[#This Row],[Investor Tally '#]] = 'Payment Tracker'!$A872, 'Payment Tracker'!$C872="Refund") = TRUE, InvestorTable[[#This Row],[Investment Capital (₦)]] )</f>
        <v>#N/A</v>
      </c>
      <c r="E872" s="15"/>
      <c r="F872" s="14"/>
      <c r="G872" s="14"/>
      <c r="H872" s="14"/>
    </row>
    <row r="873" spans="1:8" x14ac:dyDescent="0.3">
      <c r="A873" s="13"/>
      <c r="B873" s="16">
        <f>IF($A873=InvestorTable[[#This Row],[Investor Tally '#]],InvestorTable[[#This Row],[Investor Name]], NA())</f>
        <v>0</v>
      </c>
      <c r="C873" s="14"/>
      <c r="D873" s="17" t="e" cm="1">
        <f t="array" ref="D873">_xlfn.IFS(AND(InvestorTable[[#This Row],[Investor Tally '#]] = 'Payment Tracker'!$A873, 'Payment Tracker'!$C873="Dividend") = TRUE, InvestorTable[[#This Row],[Monthly ROI (₦)]], AND(InvestorTable[[#This Row],[Investor Tally '#]] = 'Payment Tracker'!$A873, 'Payment Tracker'!$C873="Capital") = TRUE, InvestorTable[[#This Row],[Investment Capital (₦)]], AND(InvestorTable[[#This Row],[Investor Tally '#]] = 'Payment Tracker'!$A873, 'Payment Tracker'!$C873="Refund") = TRUE, InvestorTable[[#This Row],[Investment Capital (₦)]] )</f>
        <v>#N/A</v>
      </c>
      <c r="E873" s="15"/>
      <c r="F873" s="14"/>
      <c r="G873" s="14"/>
      <c r="H873" s="14"/>
    </row>
    <row r="874" spans="1:8" x14ac:dyDescent="0.3">
      <c r="A874" s="13"/>
      <c r="B874" s="16">
        <f>IF($A874=InvestorTable[[#This Row],[Investor Tally '#]],InvestorTable[[#This Row],[Investor Name]], NA())</f>
        <v>0</v>
      </c>
      <c r="C874" s="14"/>
      <c r="D874" s="17" t="e" cm="1">
        <f t="array" ref="D874">_xlfn.IFS(AND(InvestorTable[[#This Row],[Investor Tally '#]] = 'Payment Tracker'!$A874, 'Payment Tracker'!$C874="Dividend") = TRUE, InvestorTable[[#This Row],[Monthly ROI (₦)]], AND(InvestorTable[[#This Row],[Investor Tally '#]] = 'Payment Tracker'!$A874, 'Payment Tracker'!$C874="Capital") = TRUE, InvestorTable[[#This Row],[Investment Capital (₦)]], AND(InvestorTable[[#This Row],[Investor Tally '#]] = 'Payment Tracker'!$A874, 'Payment Tracker'!$C874="Refund") = TRUE, InvestorTable[[#This Row],[Investment Capital (₦)]] )</f>
        <v>#N/A</v>
      </c>
      <c r="E874" s="15"/>
      <c r="F874" s="14"/>
      <c r="G874" s="14"/>
      <c r="H874" s="14"/>
    </row>
    <row r="875" spans="1:8" x14ac:dyDescent="0.3">
      <c r="A875" s="13"/>
      <c r="B875" s="16">
        <f>IF($A875=InvestorTable[[#This Row],[Investor Tally '#]],InvestorTable[[#This Row],[Investor Name]], NA())</f>
        <v>0</v>
      </c>
      <c r="C875" s="14"/>
      <c r="D875" s="17" t="e" cm="1">
        <f t="array" ref="D875">_xlfn.IFS(AND(InvestorTable[[#This Row],[Investor Tally '#]] = 'Payment Tracker'!$A875, 'Payment Tracker'!$C875="Dividend") = TRUE, InvestorTable[[#This Row],[Monthly ROI (₦)]], AND(InvestorTable[[#This Row],[Investor Tally '#]] = 'Payment Tracker'!$A875, 'Payment Tracker'!$C875="Capital") = TRUE, InvestorTable[[#This Row],[Investment Capital (₦)]], AND(InvestorTable[[#This Row],[Investor Tally '#]] = 'Payment Tracker'!$A875, 'Payment Tracker'!$C875="Refund") = TRUE, InvestorTable[[#This Row],[Investment Capital (₦)]] )</f>
        <v>#N/A</v>
      </c>
      <c r="E875" s="15"/>
      <c r="F875" s="14"/>
      <c r="G875" s="14"/>
      <c r="H875" s="14"/>
    </row>
    <row r="876" spans="1:8" x14ac:dyDescent="0.3">
      <c r="A876" s="13"/>
      <c r="B876" s="16">
        <f>IF($A876=InvestorTable[[#This Row],[Investor Tally '#]],InvestorTable[[#This Row],[Investor Name]], NA())</f>
        <v>0</v>
      </c>
      <c r="C876" s="14"/>
      <c r="D876" s="17" t="e" cm="1">
        <f t="array" ref="D876">_xlfn.IFS(AND(InvestorTable[[#This Row],[Investor Tally '#]] = 'Payment Tracker'!$A876, 'Payment Tracker'!$C876="Dividend") = TRUE, InvestorTable[[#This Row],[Monthly ROI (₦)]], AND(InvestorTable[[#This Row],[Investor Tally '#]] = 'Payment Tracker'!$A876, 'Payment Tracker'!$C876="Capital") = TRUE, InvestorTable[[#This Row],[Investment Capital (₦)]], AND(InvestorTable[[#This Row],[Investor Tally '#]] = 'Payment Tracker'!$A876, 'Payment Tracker'!$C876="Refund") = TRUE, InvestorTable[[#This Row],[Investment Capital (₦)]] )</f>
        <v>#N/A</v>
      </c>
      <c r="E876" s="15"/>
      <c r="F876" s="14"/>
      <c r="G876" s="14"/>
      <c r="H876" s="14"/>
    </row>
    <row r="877" spans="1:8" x14ac:dyDescent="0.3">
      <c r="A877" s="13"/>
      <c r="B877" s="16">
        <f>IF($A877=InvestorTable[[#This Row],[Investor Tally '#]],InvestorTable[[#This Row],[Investor Name]], NA())</f>
        <v>0</v>
      </c>
      <c r="C877" s="14"/>
      <c r="D877" s="17" t="e" cm="1">
        <f t="array" ref="D877">_xlfn.IFS(AND(InvestorTable[[#This Row],[Investor Tally '#]] = 'Payment Tracker'!$A877, 'Payment Tracker'!$C877="Dividend") = TRUE, InvestorTable[[#This Row],[Monthly ROI (₦)]], AND(InvestorTable[[#This Row],[Investor Tally '#]] = 'Payment Tracker'!$A877, 'Payment Tracker'!$C877="Capital") = TRUE, InvestorTable[[#This Row],[Investment Capital (₦)]], AND(InvestorTable[[#This Row],[Investor Tally '#]] = 'Payment Tracker'!$A877, 'Payment Tracker'!$C877="Refund") = TRUE, InvestorTable[[#This Row],[Investment Capital (₦)]] )</f>
        <v>#N/A</v>
      </c>
      <c r="E877" s="15"/>
      <c r="F877" s="14"/>
      <c r="G877" s="14"/>
      <c r="H877" s="14"/>
    </row>
    <row r="878" spans="1:8" x14ac:dyDescent="0.3">
      <c r="A878" s="13"/>
      <c r="B878" s="16">
        <f>IF($A878=InvestorTable[[#This Row],[Investor Tally '#]],InvestorTable[[#This Row],[Investor Name]], NA())</f>
        <v>0</v>
      </c>
      <c r="C878" s="14"/>
      <c r="D878" s="17" t="e" cm="1">
        <f t="array" ref="D878">_xlfn.IFS(AND(InvestorTable[[#This Row],[Investor Tally '#]] = 'Payment Tracker'!$A878, 'Payment Tracker'!$C878="Dividend") = TRUE, InvestorTable[[#This Row],[Monthly ROI (₦)]], AND(InvestorTable[[#This Row],[Investor Tally '#]] = 'Payment Tracker'!$A878, 'Payment Tracker'!$C878="Capital") = TRUE, InvestorTable[[#This Row],[Investment Capital (₦)]], AND(InvestorTable[[#This Row],[Investor Tally '#]] = 'Payment Tracker'!$A878, 'Payment Tracker'!$C878="Refund") = TRUE, InvestorTable[[#This Row],[Investment Capital (₦)]] )</f>
        <v>#N/A</v>
      </c>
      <c r="E878" s="15"/>
      <c r="F878" s="14"/>
      <c r="G878" s="14"/>
      <c r="H878" s="14"/>
    </row>
    <row r="879" spans="1:8" x14ac:dyDescent="0.3">
      <c r="A879" s="13"/>
      <c r="B879" s="16">
        <f>IF($A879=InvestorTable[[#This Row],[Investor Tally '#]],InvestorTable[[#This Row],[Investor Name]], NA())</f>
        <v>0</v>
      </c>
      <c r="C879" s="14"/>
      <c r="D879" s="17" t="e" cm="1">
        <f t="array" ref="D879">_xlfn.IFS(AND(InvestorTable[[#This Row],[Investor Tally '#]] = 'Payment Tracker'!$A879, 'Payment Tracker'!$C879="Dividend") = TRUE, InvestorTable[[#This Row],[Monthly ROI (₦)]], AND(InvestorTable[[#This Row],[Investor Tally '#]] = 'Payment Tracker'!$A879, 'Payment Tracker'!$C879="Capital") = TRUE, InvestorTable[[#This Row],[Investment Capital (₦)]], AND(InvestorTable[[#This Row],[Investor Tally '#]] = 'Payment Tracker'!$A879, 'Payment Tracker'!$C879="Refund") = TRUE, InvestorTable[[#This Row],[Investment Capital (₦)]] )</f>
        <v>#N/A</v>
      </c>
      <c r="E879" s="15"/>
      <c r="F879" s="14"/>
      <c r="G879" s="14"/>
      <c r="H879" s="14"/>
    </row>
    <row r="880" spans="1:8" x14ac:dyDescent="0.3">
      <c r="A880" s="13"/>
      <c r="B880" s="16">
        <f>IF($A880=InvestorTable[[#This Row],[Investor Tally '#]],InvestorTable[[#This Row],[Investor Name]], NA())</f>
        <v>0</v>
      </c>
      <c r="C880" s="14"/>
      <c r="D880" s="17" t="e" cm="1">
        <f t="array" ref="D880">_xlfn.IFS(AND(InvestorTable[[#This Row],[Investor Tally '#]] = 'Payment Tracker'!$A880, 'Payment Tracker'!$C880="Dividend") = TRUE, InvestorTable[[#This Row],[Monthly ROI (₦)]], AND(InvestorTable[[#This Row],[Investor Tally '#]] = 'Payment Tracker'!$A880, 'Payment Tracker'!$C880="Capital") = TRUE, InvestorTable[[#This Row],[Investment Capital (₦)]], AND(InvestorTable[[#This Row],[Investor Tally '#]] = 'Payment Tracker'!$A880, 'Payment Tracker'!$C880="Refund") = TRUE, InvestorTable[[#This Row],[Investment Capital (₦)]] )</f>
        <v>#N/A</v>
      </c>
      <c r="E880" s="15"/>
      <c r="F880" s="14"/>
      <c r="G880" s="14"/>
      <c r="H880" s="14"/>
    </row>
    <row r="881" spans="1:8" x14ac:dyDescent="0.3">
      <c r="A881" s="13"/>
      <c r="B881" s="16">
        <f>IF($A881=InvestorTable[[#This Row],[Investor Tally '#]],InvestorTable[[#This Row],[Investor Name]], NA())</f>
        <v>0</v>
      </c>
      <c r="C881" s="14"/>
      <c r="D881" s="17" t="e" cm="1">
        <f t="array" ref="D881">_xlfn.IFS(AND(InvestorTable[[#This Row],[Investor Tally '#]] = 'Payment Tracker'!$A881, 'Payment Tracker'!$C881="Dividend") = TRUE, InvestorTable[[#This Row],[Monthly ROI (₦)]], AND(InvestorTable[[#This Row],[Investor Tally '#]] = 'Payment Tracker'!$A881, 'Payment Tracker'!$C881="Capital") = TRUE, InvestorTable[[#This Row],[Investment Capital (₦)]], AND(InvestorTable[[#This Row],[Investor Tally '#]] = 'Payment Tracker'!$A881, 'Payment Tracker'!$C881="Refund") = TRUE, InvestorTable[[#This Row],[Investment Capital (₦)]] )</f>
        <v>#N/A</v>
      </c>
      <c r="E881" s="15"/>
      <c r="F881" s="14"/>
      <c r="G881" s="14"/>
      <c r="H881" s="14"/>
    </row>
    <row r="882" spans="1:8" x14ac:dyDescent="0.3">
      <c r="A882" s="13"/>
      <c r="B882" s="16">
        <f>IF($A882=InvestorTable[[#This Row],[Investor Tally '#]],InvestorTable[[#This Row],[Investor Name]], NA())</f>
        <v>0</v>
      </c>
      <c r="C882" s="14"/>
      <c r="D882" s="17" t="e" cm="1">
        <f t="array" ref="D882">_xlfn.IFS(AND(InvestorTable[[#This Row],[Investor Tally '#]] = 'Payment Tracker'!$A882, 'Payment Tracker'!$C882="Dividend") = TRUE, InvestorTable[[#This Row],[Monthly ROI (₦)]], AND(InvestorTable[[#This Row],[Investor Tally '#]] = 'Payment Tracker'!$A882, 'Payment Tracker'!$C882="Capital") = TRUE, InvestorTable[[#This Row],[Investment Capital (₦)]], AND(InvestorTable[[#This Row],[Investor Tally '#]] = 'Payment Tracker'!$A882, 'Payment Tracker'!$C882="Refund") = TRUE, InvestorTable[[#This Row],[Investment Capital (₦)]] )</f>
        <v>#N/A</v>
      </c>
      <c r="E882" s="15"/>
      <c r="F882" s="14"/>
      <c r="G882" s="14"/>
      <c r="H882" s="14"/>
    </row>
    <row r="883" spans="1:8" x14ac:dyDescent="0.3">
      <c r="A883" s="13"/>
      <c r="B883" s="16">
        <f>IF($A883=InvestorTable[[#This Row],[Investor Tally '#]],InvestorTable[[#This Row],[Investor Name]], NA())</f>
        <v>0</v>
      </c>
      <c r="C883" s="14"/>
      <c r="D883" s="17" t="e" cm="1">
        <f t="array" ref="D883">_xlfn.IFS(AND(InvestorTable[[#This Row],[Investor Tally '#]] = 'Payment Tracker'!$A883, 'Payment Tracker'!$C883="Dividend") = TRUE, InvestorTable[[#This Row],[Monthly ROI (₦)]], AND(InvestorTable[[#This Row],[Investor Tally '#]] = 'Payment Tracker'!$A883, 'Payment Tracker'!$C883="Capital") = TRUE, InvestorTable[[#This Row],[Investment Capital (₦)]], AND(InvestorTable[[#This Row],[Investor Tally '#]] = 'Payment Tracker'!$A883, 'Payment Tracker'!$C883="Refund") = TRUE, InvestorTable[[#This Row],[Investment Capital (₦)]] )</f>
        <v>#N/A</v>
      </c>
      <c r="E883" s="15"/>
      <c r="F883" s="14"/>
      <c r="G883" s="14"/>
      <c r="H883" s="14"/>
    </row>
    <row r="884" spans="1:8" x14ac:dyDescent="0.3">
      <c r="A884" s="13"/>
      <c r="B884" s="16">
        <f>IF($A884=InvestorTable[[#This Row],[Investor Tally '#]],InvestorTable[[#This Row],[Investor Name]], NA())</f>
        <v>0</v>
      </c>
      <c r="C884" s="14"/>
      <c r="D884" s="17" t="e" cm="1">
        <f t="array" ref="D884">_xlfn.IFS(AND(InvestorTable[[#This Row],[Investor Tally '#]] = 'Payment Tracker'!$A884, 'Payment Tracker'!$C884="Dividend") = TRUE, InvestorTable[[#This Row],[Monthly ROI (₦)]], AND(InvestorTable[[#This Row],[Investor Tally '#]] = 'Payment Tracker'!$A884, 'Payment Tracker'!$C884="Capital") = TRUE, InvestorTable[[#This Row],[Investment Capital (₦)]], AND(InvestorTable[[#This Row],[Investor Tally '#]] = 'Payment Tracker'!$A884, 'Payment Tracker'!$C884="Refund") = TRUE, InvestorTable[[#This Row],[Investment Capital (₦)]] )</f>
        <v>#N/A</v>
      </c>
      <c r="E884" s="15"/>
      <c r="F884" s="14"/>
      <c r="G884" s="14"/>
      <c r="H884" s="14"/>
    </row>
    <row r="885" spans="1:8" x14ac:dyDescent="0.3">
      <c r="A885" s="13"/>
      <c r="B885" s="16">
        <f>IF($A885=InvestorTable[[#This Row],[Investor Tally '#]],InvestorTable[[#This Row],[Investor Name]], NA())</f>
        <v>0</v>
      </c>
      <c r="C885" s="14"/>
      <c r="D885" s="17" t="e" cm="1">
        <f t="array" ref="D885">_xlfn.IFS(AND(InvestorTable[[#This Row],[Investor Tally '#]] = 'Payment Tracker'!$A885, 'Payment Tracker'!$C885="Dividend") = TRUE, InvestorTable[[#This Row],[Monthly ROI (₦)]], AND(InvestorTable[[#This Row],[Investor Tally '#]] = 'Payment Tracker'!$A885, 'Payment Tracker'!$C885="Capital") = TRUE, InvestorTable[[#This Row],[Investment Capital (₦)]], AND(InvestorTable[[#This Row],[Investor Tally '#]] = 'Payment Tracker'!$A885, 'Payment Tracker'!$C885="Refund") = TRUE, InvestorTable[[#This Row],[Investment Capital (₦)]] )</f>
        <v>#N/A</v>
      </c>
      <c r="E885" s="15"/>
      <c r="F885" s="14"/>
      <c r="G885" s="14"/>
      <c r="H885" s="14"/>
    </row>
    <row r="886" spans="1:8" x14ac:dyDescent="0.3">
      <c r="A886" s="13"/>
      <c r="B886" s="16">
        <f>IF($A886=InvestorTable[[#This Row],[Investor Tally '#]],InvestorTable[[#This Row],[Investor Name]], NA())</f>
        <v>0</v>
      </c>
      <c r="C886" s="14"/>
      <c r="D886" s="17" t="e" cm="1">
        <f t="array" ref="D886">_xlfn.IFS(AND(InvestorTable[[#This Row],[Investor Tally '#]] = 'Payment Tracker'!$A886, 'Payment Tracker'!$C886="Dividend") = TRUE, InvestorTable[[#This Row],[Monthly ROI (₦)]], AND(InvestorTable[[#This Row],[Investor Tally '#]] = 'Payment Tracker'!$A886, 'Payment Tracker'!$C886="Capital") = TRUE, InvestorTable[[#This Row],[Investment Capital (₦)]], AND(InvestorTable[[#This Row],[Investor Tally '#]] = 'Payment Tracker'!$A886, 'Payment Tracker'!$C886="Refund") = TRUE, InvestorTable[[#This Row],[Investment Capital (₦)]] )</f>
        <v>#N/A</v>
      </c>
      <c r="E886" s="15"/>
      <c r="F886" s="14"/>
      <c r="G886" s="14"/>
      <c r="H886" s="14"/>
    </row>
    <row r="887" spans="1:8" x14ac:dyDescent="0.3">
      <c r="A887" s="13"/>
      <c r="B887" s="16">
        <f>IF($A887=InvestorTable[[#This Row],[Investor Tally '#]],InvestorTable[[#This Row],[Investor Name]], NA())</f>
        <v>0</v>
      </c>
      <c r="C887" s="14"/>
      <c r="D887" s="17" t="e" cm="1">
        <f t="array" ref="D887">_xlfn.IFS(AND(InvestorTable[[#This Row],[Investor Tally '#]] = 'Payment Tracker'!$A887, 'Payment Tracker'!$C887="Dividend") = TRUE, InvestorTable[[#This Row],[Monthly ROI (₦)]], AND(InvestorTable[[#This Row],[Investor Tally '#]] = 'Payment Tracker'!$A887, 'Payment Tracker'!$C887="Capital") = TRUE, InvestorTable[[#This Row],[Investment Capital (₦)]], AND(InvestorTable[[#This Row],[Investor Tally '#]] = 'Payment Tracker'!$A887, 'Payment Tracker'!$C887="Refund") = TRUE, InvestorTable[[#This Row],[Investment Capital (₦)]] )</f>
        <v>#N/A</v>
      </c>
      <c r="E887" s="15"/>
      <c r="F887" s="14"/>
      <c r="G887" s="14"/>
      <c r="H887" s="14"/>
    </row>
    <row r="888" spans="1:8" x14ac:dyDescent="0.3">
      <c r="A888" s="13"/>
      <c r="B888" s="16">
        <f>IF($A888=InvestorTable[[#This Row],[Investor Tally '#]],InvestorTable[[#This Row],[Investor Name]], NA())</f>
        <v>0</v>
      </c>
      <c r="C888" s="14"/>
      <c r="D888" s="17" t="e" cm="1">
        <f t="array" ref="D888">_xlfn.IFS(AND(InvestorTable[[#This Row],[Investor Tally '#]] = 'Payment Tracker'!$A888, 'Payment Tracker'!$C888="Dividend") = TRUE, InvestorTable[[#This Row],[Monthly ROI (₦)]], AND(InvestorTable[[#This Row],[Investor Tally '#]] = 'Payment Tracker'!$A888, 'Payment Tracker'!$C888="Capital") = TRUE, InvestorTable[[#This Row],[Investment Capital (₦)]], AND(InvestorTable[[#This Row],[Investor Tally '#]] = 'Payment Tracker'!$A888, 'Payment Tracker'!$C888="Refund") = TRUE, InvestorTable[[#This Row],[Investment Capital (₦)]] )</f>
        <v>#N/A</v>
      </c>
      <c r="E888" s="15"/>
      <c r="F888" s="14"/>
      <c r="G888" s="14"/>
      <c r="H888" s="14"/>
    </row>
    <row r="889" spans="1:8" x14ac:dyDescent="0.3">
      <c r="A889" s="13"/>
      <c r="B889" s="16">
        <f>IF($A889=InvestorTable[[#This Row],[Investor Tally '#]],InvestorTable[[#This Row],[Investor Name]], NA())</f>
        <v>0</v>
      </c>
      <c r="C889" s="14"/>
      <c r="D889" s="17" t="e" cm="1">
        <f t="array" ref="D889">_xlfn.IFS(AND(InvestorTable[[#This Row],[Investor Tally '#]] = 'Payment Tracker'!$A889, 'Payment Tracker'!$C889="Dividend") = TRUE, InvestorTable[[#This Row],[Monthly ROI (₦)]], AND(InvestorTable[[#This Row],[Investor Tally '#]] = 'Payment Tracker'!$A889, 'Payment Tracker'!$C889="Capital") = TRUE, InvestorTable[[#This Row],[Investment Capital (₦)]], AND(InvestorTable[[#This Row],[Investor Tally '#]] = 'Payment Tracker'!$A889, 'Payment Tracker'!$C889="Refund") = TRUE, InvestorTable[[#This Row],[Investment Capital (₦)]] )</f>
        <v>#N/A</v>
      </c>
      <c r="E889" s="15"/>
      <c r="F889" s="14"/>
      <c r="G889" s="14"/>
      <c r="H889" s="14"/>
    </row>
    <row r="890" spans="1:8" x14ac:dyDescent="0.3">
      <c r="A890" s="13"/>
      <c r="B890" s="16">
        <f>IF($A890=InvestorTable[[#This Row],[Investor Tally '#]],InvestorTable[[#This Row],[Investor Name]], NA())</f>
        <v>0</v>
      </c>
      <c r="C890" s="14"/>
      <c r="D890" s="17" t="e" cm="1">
        <f t="array" ref="D890">_xlfn.IFS(AND(InvestorTable[[#This Row],[Investor Tally '#]] = 'Payment Tracker'!$A890, 'Payment Tracker'!$C890="Dividend") = TRUE, InvestorTable[[#This Row],[Monthly ROI (₦)]], AND(InvestorTable[[#This Row],[Investor Tally '#]] = 'Payment Tracker'!$A890, 'Payment Tracker'!$C890="Capital") = TRUE, InvestorTable[[#This Row],[Investment Capital (₦)]], AND(InvestorTable[[#This Row],[Investor Tally '#]] = 'Payment Tracker'!$A890, 'Payment Tracker'!$C890="Refund") = TRUE, InvestorTable[[#This Row],[Investment Capital (₦)]] )</f>
        <v>#N/A</v>
      </c>
      <c r="E890" s="15"/>
      <c r="F890" s="14"/>
      <c r="G890" s="14"/>
      <c r="H890" s="14"/>
    </row>
    <row r="891" spans="1:8" x14ac:dyDescent="0.3">
      <c r="A891" s="13"/>
      <c r="B891" s="16">
        <f>IF($A891=InvestorTable[[#This Row],[Investor Tally '#]],InvestorTable[[#This Row],[Investor Name]], NA())</f>
        <v>0</v>
      </c>
      <c r="C891" s="14"/>
      <c r="D891" s="17" t="e" cm="1">
        <f t="array" ref="D891">_xlfn.IFS(AND(InvestorTable[[#This Row],[Investor Tally '#]] = 'Payment Tracker'!$A891, 'Payment Tracker'!$C891="Dividend") = TRUE, InvestorTable[[#This Row],[Monthly ROI (₦)]], AND(InvestorTable[[#This Row],[Investor Tally '#]] = 'Payment Tracker'!$A891, 'Payment Tracker'!$C891="Capital") = TRUE, InvestorTable[[#This Row],[Investment Capital (₦)]], AND(InvestorTable[[#This Row],[Investor Tally '#]] = 'Payment Tracker'!$A891, 'Payment Tracker'!$C891="Refund") = TRUE, InvestorTable[[#This Row],[Investment Capital (₦)]] )</f>
        <v>#N/A</v>
      </c>
      <c r="E891" s="15"/>
      <c r="F891" s="14"/>
      <c r="G891" s="14"/>
      <c r="H891" s="14"/>
    </row>
    <row r="892" spans="1:8" x14ac:dyDescent="0.3">
      <c r="A892" s="13"/>
      <c r="B892" s="16">
        <f>IF($A892=InvestorTable[[#This Row],[Investor Tally '#]],InvestorTable[[#This Row],[Investor Name]], NA())</f>
        <v>0</v>
      </c>
      <c r="C892" s="14"/>
      <c r="D892" s="17" t="e" cm="1">
        <f t="array" ref="D892">_xlfn.IFS(AND(InvestorTable[[#This Row],[Investor Tally '#]] = 'Payment Tracker'!$A892, 'Payment Tracker'!$C892="Dividend") = TRUE, InvestorTable[[#This Row],[Monthly ROI (₦)]], AND(InvestorTable[[#This Row],[Investor Tally '#]] = 'Payment Tracker'!$A892, 'Payment Tracker'!$C892="Capital") = TRUE, InvestorTable[[#This Row],[Investment Capital (₦)]], AND(InvestorTable[[#This Row],[Investor Tally '#]] = 'Payment Tracker'!$A892, 'Payment Tracker'!$C892="Refund") = TRUE, InvestorTable[[#This Row],[Investment Capital (₦)]] )</f>
        <v>#N/A</v>
      </c>
      <c r="E892" s="15"/>
      <c r="F892" s="14"/>
      <c r="G892" s="14"/>
      <c r="H892" s="14"/>
    </row>
    <row r="893" spans="1:8" x14ac:dyDescent="0.3">
      <c r="A893" s="13"/>
      <c r="B893" s="16">
        <f>IF($A893=InvestorTable[[#This Row],[Investor Tally '#]],InvestorTable[[#This Row],[Investor Name]], NA())</f>
        <v>0</v>
      </c>
      <c r="C893" s="14"/>
      <c r="D893" s="17" t="e" cm="1">
        <f t="array" ref="D893">_xlfn.IFS(AND(InvestorTable[[#This Row],[Investor Tally '#]] = 'Payment Tracker'!$A893, 'Payment Tracker'!$C893="Dividend") = TRUE, InvestorTable[[#This Row],[Monthly ROI (₦)]], AND(InvestorTable[[#This Row],[Investor Tally '#]] = 'Payment Tracker'!$A893, 'Payment Tracker'!$C893="Capital") = TRUE, InvestorTable[[#This Row],[Investment Capital (₦)]], AND(InvestorTable[[#This Row],[Investor Tally '#]] = 'Payment Tracker'!$A893, 'Payment Tracker'!$C893="Refund") = TRUE, InvestorTable[[#This Row],[Investment Capital (₦)]] )</f>
        <v>#N/A</v>
      </c>
      <c r="E893" s="15"/>
      <c r="F893" s="14"/>
      <c r="G893" s="14"/>
      <c r="H893" s="14"/>
    </row>
    <row r="894" spans="1:8" x14ac:dyDescent="0.3">
      <c r="A894" s="13"/>
      <c r="B894" s="16">
        <f>IF($A894=InvestorTable[[#This Row],[Investor Tally '#]],InvestorTable[[#This Row],[Investor Name]], NA())</f>
        <v>0</v>
      </c>
      <c r="C894" s="14"/>
      <c r="D894" s="17" t="e" cm="1">
        <f t="array" ref="D894">_xlfn.IFS(AND(InvestorTable[[#This Row],[Investor Tally '#]] = 'Payment Tracker'!$A894, 'Payment Tracker'!$C894="Dividend") = TRUE, InvestorTable[[#This Row],[Monthly ROI (₦)]], AND(InvestorTable[[#This Row],[Investor Tally '#]] = 'Payment Tracker'!$A894, 'Payment Tracker'!$C894="Capital") = TRUE, InvestorTable[[#This Row],[Investment Capital (₦)]], AND(InvestorTable[[#This Row],[Investor Tally '#]] = 'Payment Tracker'!$A894, 'Payment Tracker'!$C894="Refund") = TRUE, InvestorTable[[#This Row],[Investment Capital (₦)]] )</f>
        <v>#N/A</v>
      </c>
      <c r="E894" s="15"/>
      <c r="F894" s="14"/>
      <c r="G894" s="14"/>
      <c r="H894" s="14"/>
    </row>
    <row r="895" spans="1:8" x14ac:dyDescent="0.3">
      <c r="A895" s="13"/>
      <c r="B895" s="16">
        <f>IF($A895=InvestorTable[[#This Row],[Investor Tally '#]],InvestorTable[[#This Row],[Investor Name]], NA())</f>
        <v>0</v>
      </c>
      <c r="C895" s="14"/>
      <c r="D895" s="17" t="e" cm="1">
        <f t="array" ref="D895">_xlfn.IFS(AND(InvestorTable[[#This Row],[Investor Tally '#]] = 'Payment Tracker'!$A895, 'Payment Tracker'!$C895="Dividend") = TRUE, InvestorTable[[#This Row],[Monthly ROI (₦)]], AND(InvestorTable[[#This Row],[Investor Tally '#]] = 'Payment Tracker'!$A895, 'Payment Tracker'!$C895="Capital") = TRUE, InvestorTable[[#This Row],[Investment Capital (₦)]], AND(InvestorTable[[#This Row],[Investor Tally '#]] = 'Payment Tracker'!$A895, 'Payment Tracker'!$C895="Refund") = TRUE, InvestorTable[[#This Row],[Investment Capital (₦)]] )</f>
        <v>#N/A</v>
      </c>
      <c r="E895" s="15"/>
      <c r="F895" s="14"/>
      <c r="G895" s="14"/>
      <c r="H895" s="14"/>
    </row>
    <row r="896" spans="1:8" x14ac:dyDescent="0.3">
      <c r="A896" s="13"/>
      <c r="B896" s="16">
        <f>IF($A896=InvestorTable[[#This Row],[Investor Tally '#]],InvestorTable[[#This Row],[Investor Name]], NA())</f>
        <v>0</v>
      </c>
      <c r="C896" s="14"/>
      <c r="D896" s="17" t="e" cm="1">
        <f t="array" ref="D896">_xlfn.IFS(AND(InvestorTable[[#This Row],[Investor Tally '#]] = 'Payment Tracker'!$A896, 'Payment Tracker'!$C896="Dividend") = TRUE, InvestorTable[[#This Row],[Monthly ROI (₦)]], AND(InvestorTable[[#This Row],[Investor Tally '#]] = 'Payment Tracker'!$A896, 'Payment Tracker'!$C896="Capital") = TRUE, InvestorTable[[#This Row],[Investment Capital (₦)]], AND(InvestorTable[[#This Row],[Investor Tally '#]] = 'Payment Tracker'!$A896, 'Payment Tracker'!$C896="Refund") = TRUE, InvestorTable[[#This Row],[Investment Capital (₦)]] )</f>
        <v>#N/A</v>
      </c>
      <c r="E896" s="15"/>
      <c r="F896" s="14"/>
      <c r="G896" s="14"/>
      <c r="H896" s="14"/>
    </row>
    <row r="897" spans="1:8" x14ac:dyDescent="0.3">
      <c r="A897" s="13"/>
      <c r="B897" s="16">
        <f>IF($A897=InvestorTable[[#This Row],[Investor Tally '#]],InvestorTable[[#This Row],[Investor Name]], NA())</f>
        <v>0</v>
      </c>
      <c r="C897" s="14"/>
      <c r="D897" s="17" t="e" cm="1">
        <f t="array" ref="D897">_xlfn.IFS(AND(InvestorTable[[#This Row],[Investor Tally '#]] = 'Payment Tracker'!$A897, 'Payment Tracker'!$C897="Dividend") = TRUE, InvestorTable[[#This Row],[Monthly ROI (₦)]], AND(InvestorTable[[#This Row],[Investor Tally '#]] = 'Payment Tracker'!$A897, 'Payment Tracker'!$C897="Capital") = TRUE, InvestorTable[[#This Row],[Investment Capital (₦)]], AND(InvestorTable[[#This Row],[Investor Tally '#]] = 'Payment Tracker'!$A897, 'Payment Tracker'!$C897="Refund") = TRUE, InvestorTable[[#This Row],[Investment Capital (₦)]] )</f>
        <v>#N/A</v>
      </c>
      <c r="E897" s="15"/>
      <c r="F897" s="14"/>
      <c r="G897" s="14"/>
      <c r="H897" s="14"/>
    </row>
    <row r="898" spans="1:8" x14ac:dyDescent="0.3">
      <c r="A898" s="13"/>
      <c r="B898" s="16">
        <f>IF($A898=InvestorTable[[#This Row],[Investor Tally '#]],InvestorTable[[#This Row],[Investor Name]], NA())</f>
        <v>0</v>
      </c>
      <c r="C898" s="14"/>
      <c r="D898" s="17" t="e" cm="1">
        <f t="array" ref="D898">_xlfn.IFS(AND(InvestorTable[[#This Row],[Investor Tally '#]] = 'Payment Tracker'!$A898, 'Payment Tracker'!$C898="Dividend") = TRUE, InvestorTable[[#This Row],[Monthly ROI (₦)]], AND(InvestorTable[[#This Row],[Investor Tally '#]] = 'Payment Tracker'!$A898, 'Payment Tracker'!$C898="Capital") = TRUE, InvestorTable[[#This Row],[Investment Capital (₦)]], AND(InvestorTable[[#This Row],[Investor Tally '#]] = 'Payment Tracker'!$A898, 'Payment Tracker'!$C898="Refund") = TRUE, InvestorTable[[#This Row],[Investment Capital (₦)]] )</f>
        <v>#N/A</v>
      </c>
      <c r="E898" s="15"/>
      <c r="F898" s="14"/>
      <c r="G898" s="14"/>
      <c r="H898" s="14"/>
    </row>
    <row r="899" spans="1:8" x14ac:dyDescent="0.3">
      <c r="A899" s="13"/>
      <c r="B899" s="16">
        <f>IF($A899=InvestorTable[[#This Row],[Investor Tally '#]],InvestorTable[[#This Row],[Investor Name]], NA())</f>
        <v>0</v>
      </c>
      <c r="C899" s="14"/>
      <c r="D899" s="17" t="e" cm="1">
        <f t="array" ref="D899">_xlfn.IFS(AND(InvestorTable[[#This Row],[Investor Tally '#]] = 'Payment Tracker'!$A899, 'Payment Tracker'!$C899="Dividend") = TRUE, InvestorTable[[#This Row],[Monthly ROI (₦)]], AND(InvestorTable[[#This Row],[Investor Tally '#]] = 'Payment Tracker'!$A899, 'Payment Tracker'!$C899="Capital") = TRUE, InvestorTable[[#This Row],[Investment Capital (₦)]], AND(InvestorTable[[#This Row],[Investor Tally '#]] = 'Payment Tracker'!$A899, 'Payment Tracker'!$C899="Refund") = TRUE, InvestorTable[[#This Row],[Investment Capital (₦)]] )</f>
        <v>#N/A</v>
      </c>
      <c r="E899" s="15"/>
      <c r="F899" s="14"/>
      <c r="G899" s="14"/>
      <c r="H899" s="14"/>
    </row>
    <row r="900" spans="1:8" x14ac:dyDescent="0.3">
      <c r="A900" s="13"/>
      <c r="B900" s="16">
        <f>IF($A900=InvestorTable[[#This Row],[Investor Tally '#]],InvestorTable[[#This Row],[Investor Name]], NA())</f>
        <v>0</v>
      </c>
      <c r="C900" s="14"/>
      <c r="D900" s="17" t="e" cm="1">
        <f t="array" ref="D900">_xlfn.IFS(AND(InvestorTable[[#This Row],[Investor Tally '#]] = 'Payment Tracker'!$A900, 'Payment Tracker'!$C900="Dividend") = TRUE, InvestorTable[[#This Row],[Monthly ROI (₦)]], AND(InvestorTable[[#This Row],[Investor Tally '#]] = 'Payment Tracker'!$A900, 'Payment Tracker'!$C900="Capital") = TRUE, InvestorTable[[#This Row],[Investment Capital (₦)]], AND(InvestorTable[[#This Row],[Investor Tally '#]] = 'Payment Tracker'!$A900, 'Payment Tracker'!$C900="Refund") = TRUE, InvestorTable[[#This Row],[Investment Capital (₦)]] )</f>
        <v>#N/A</v>
      </c>
      <c r="E900" s="15"/>
      <c r="F900" s="14"/>
      <c r="G900" s="14"/>
      <c r="H900" s="14"/>
    </row>
    <row r="901" spans="1:8" x14ac:dyDescent="0.3">
      <c r="A901" s="13"/>
      <c r="B901" s="16">
        <f>IF($A901=InvestorTable[[#This Row],[Investor Tally '#]],InvestorTable[[#This Row],[Investor Name]], NA())</f>
        <v>0</v>
      </c>
      <c r="C901" s="14"/>
      <c r="D901" s="17" t="e" cm="1">
        <f t="array" ref="D901">_xlfn.IFS(AND(InvestorTable[[#This Row],[Investor Tally '#]] = 'Payment Tracker'!$A901, 'Payment Tracker'!$C901="Dividend") = TRUE, InvestorTable[[#This Row],[Monthly ROI (₦)]], AND(InvestorTable[[#This Row],[Investor Tally '#]] = 'Payment Tracker'!$A901, 'Payment Tracker'!$C901="Capital") = TRUE, InvestorTable[[#This Row],[Investment Capital (₦)]], AND(InvestorTable[[#This Row],[Investor Tally '#]] = 'Payment Tracker'!$A901, 'Payment Tracker'!$C901="Refund") = TRUE, InvestorTable[[#This Row],[Investment Capital (₦)]] )</f>
        <v>#N/A</v>
      </c>
      <c r="E901" s="15"/>
      <c r="F901" s="14"/>
      <c r="G901" s="14"/>
      <c r="H901" s="14"/>
    </row>
    <row r="902" spans="1:8" x14ac:dyDescent="0.3">
      <c r="A902" s="13"/>
      <c r="B902" s="16">
        <f>IF($A902=InvestorTable[[#This Row],[Investor Tally '#]],InvestorTable[[#This Row],[Investor Name]], NA())</f>
        <v>0</v>
      </c>
      <c r="C902" s="14"/>
      <c r="D902" s="17" t="e" cm="1">
        <f t="array" ref="D902">_xlfn.IFS(AND(InvestorTable[[#This Row],[Investor Tally '#]] = 'Payment Tracker'!$A902, 'Payment Tracker'!$C902="Dividend") = TRUE, InvestorTable[[#This Row],[Monthly ROI (₦)]], AND(InvestorTable[[#This Row],[Investor Tally '#]] = 'Payment Tracker'!$A902, 'Payment Tracker'!$C902="Capital") = TRUE, InvestorTable[[#This Row],[Investment Capital (₦)]], AND(InvestorTable[[#This Row],[Investor Tally '#]] = 'Payment Tracker'!$A902, 'Payment Tracker'!$C902="Refund") = TRUE, InvestorTable[[#This Row],[Investment Capital (₦)]] )</f>
        <v>#N/A</v>
      </c>
      <c r="E902" s="15"/>
      <c r="F902" s="14"/>
      <c r="G902" s="14"/>
      <c r="H902" s="14"/>
    </row>
    <row r="903" spans="1:8" x14ac:dyDescent="0.3">
      <c r="A903" s="13"/>
      <c r="B903" s="16">
        <f>IF($A903=InvestorTable[[#This Row],[Investor Tally '#]],InvestorTable[[#This Row],[Investor Name]], NA())</f>
        <v>0</v>
      </c>
      <c r="C903" s="14"/>
      <c r="D903" s="17" t="e" cm="1">
        <f t="array" ref="D903">_xlfn.IFS(AND(InvestorTable[[#This Row],[Investor Tally '#]] = 'Payment Tracker'!$A903, 'Payment Tracker'!$C903="Dividend") = TRUE, InvestorTable[[#This Row],[Monthly ROI (₦)]], AND(InvestorTable[[#This Row],[Investor Tally '#]] = 'Payment Tracker'!$A903, 'Payment Tracker'!$C903="Capital") = TRUE, InvestorTable[[#This Row],[Investment Capital (₦)]], AND(InvestorTable[[#This Row],[Investor Tally '#]] = 'Payment Tracker'!$A903, 'Payment Tracker'!$C903="Refund") = TRUE, InvestorTable[[#This Row],[Investment Capital (₦)]] )</f>
        <v>#N/A</v>
      </c>
      <c r="E903" s="15"/>
      <c r="F903" s="14"/>
      <c r="G903" s="14"/>
      <c r="H903" s="14"/>
    </row>
    <row r="904" spans="1:8" x14ac:dyDescent="0.3">
      <c r="A904" s="13"/>
      <c r="B904" s="16">
        <f>IF($A904=InvestorTable[[#This Row],[Investor Tally '#]],InvestorTable[[#This Row],[Investor Name]], NA())</f>
        <v>0</v>
      </c>
      <c r="C904" s="14"/>
      <c r="D904" s="17" t="e" cm="1">
        <f t="array" ref="D904">_xlfn.IFS(AND(InvestorTable[[#This Row],[Investor Tally '#]] = 'Payment Tracker'!$A904, 'Payment Tracker'!$C904="Dividend") = TRUE, InvestorTable[[#This Row],[Monthly ROI (₦)]], AND(InvestorTable[[#This Row],[Investor Tally '#]] = 'Payment Tracker'!$A904, 'Payment Tracker'!$C904="Capital") = TRUE, InvestorTable[[#This Row],[Investment Capital (₦)]], AND(InvestorTable[[#This Row],[Investor Tally '#]] = 'Payment Tracker'!$A904, 'Payment Tracker'!$C904="Refund") = TRUE, InvestorTable[[#This Row],[Investment Capital (₦)]] )</f>
        <v>#N/A</v>
      </c>
      <c r="E904" s="15"/>
      <c r="F904" s="14"/>
      <c r="G904" s="14"/>
      <c r="H904" s="14"/>
    </row>
    <row r="905" spans="1:8" x14ac:dyDescent="0.3">
      <c r="A905" s="13"/>
      <c r="B905" s="16">
        <f>IF($A905=InvestorTable[[#This Row],[Investor Tally '#]],InvestorTable[[#This Row],[Investor Name]], NA())</f>
        <v>0</v>
      </c>
      <c r="C905" s="14"/>
      <c r="D905" s="17" t="e" cm="1">
        <f t="array" ref="D905">_xlfn.IFS(AND(InvestorTable[[#This Row],[Investor Tally '#]] = 'Payment Tracker'!$A905, 'Payment Tracker'!$C905="Dividend") = TRUE, InvestorTable[[#This Row],[Monthly ROI (₦)]], AND(InvestorTable[[#This Row],[Investor Tally '#]] = 'Payment Tracker'!$A905, 'Payment Tracker'!$C905="Capital") = TRUE, InvestorTable[[#This Row],[Investment Capital (₦)]], AND(InvestorTable[[#This Row],[Investor Tally '#]] = 'Payment Tracker'!$A905, 'Payment Tracker'!$C905="Refund") = TRUE, InvestorTable[[#This Row],[Investment Capital (₦)]] )</f>
        <v>#N/A</v>
      </c>
      <c r="E905" s="15"/>
      <c r="F905" s="14"/>
      <c r="G905" s="14"/>
      <c r="H905" s="14"/>
    </row>
    <row r="906" spans="1:8" x14ac:dyDescent="0.3">
      <c r="A906" s="13"/>
      <c r="B906" s="16">
        <f>IF($A906=InvestorTable[[#This Row],[Investor Tally '#]],InvestorTable[[#This Row],[Investor Name]], NA())</f>
        <v>0</v>
      </c>
      <c r="C906" s="14"/>
      <c r="D906" s="17" t="e" cm="1">
        <f t="array" ref="D906">_xlfn.IFS(AND(InvestorTable[[#This Row],[Investor Tally '#]] = 'Payment Tracker'!$A906, 'Payment Tracker'!$C906="Dividend") = TRUE, InvestorTable[[#This Row],[Monthly ROI (₦)]], AND(InvestorTable[[#This Row],[Investor Tally '#]] = 'Payment Tracker'!$A906, 'Payment Tracker'!$C906="Capital") = TRUE, InvestorTable[[#This Row],[Investment Capital (₦)]], AND(InvestorTable[[#This Row],[Investor Tally '#]] = 'Payment Tracker'!$A906, 'Payment Tracker'!$C906="Refund") = TRUE, InvestorTable[[#This Row],[Investment Capital (₦)]] )</f>
        <v>#N/A</v>
      </c>
      <c r="E906" s="15"/>
      <c r="F906" s="14"/>
      <c r="G906" s="14"/>
      <c r="H906" s="14"/>
    </row>
    <row r="907" spans="1:8" x14ac:dyDescent="0.3">
      <c r="A907" s="13"/>
      <c r="B907" s="16">
        <f>IF($A907=InvestorTable[[#This Row],[Investor Tally '#]],InvestorTable[[#This Row],[Investor Name]], NA())</f>
        <v>0</v>
      </c>
      <c r="C907" s="14"/>
      <c r="D907" s="17" t="e" cm="1">
        <f t="array" ref="D907">_xlfn.IFS(AND(InvestorTable[[#This Row],[Investor Tally '#]] = 'Payment Tracker'!$A907, 'Payment Tracker'!$C907="Dividend") = TRUE, InvestorTable[[#This Row],[Monthly ROI (₦)]], AND(InvestorTable[[#This Row],[Investor Tally '#]] = 'Payment Tracker'!$A907, 'Payment Tracker'!$C907="Capital") = TRUE, InvestorTable[[#This Row],[Investment Capital (₦)]], AND(InvestorTable[[#This Row],[Investor Tally '#]] = 'Payment Tracker'!$A907, 'Payment Tracker'!$C907="Refund") = TRUE, InvestorTable[[#This Row],[Investment Capital (₦)]] )</f>
        <v>#N/A</v>
      </c>
      <c r="E907" s="15"/>
      <c r="F907" s="14"/>
      <c r="G907" s="14"/>
      <c r="H907" s="14"/>
    </row>
    <row r="908" spans="1:8" x14ac:dyDescent="0.3">
      <c r="A908" s="13"/>
      <c r="B908" s="16">
        <f>IF($A908=InvestorTable[[#This Row],[Investor Tally '#]],InvestorTable[[#This Row],[Investor Name]], NA())</f>
        <v>0</v>
      </c>
      <c r="C908" s="14"/>
      <c r="D908" s="17" t="e" cm="1">
        <f t="array" ref="D908">_xlfn.IFS(AND(InvestorTable[[#This Row],[Investor Tally '#]] = 'Payment Tracker'!$A908, 'Payment Tracker'!$C908="Dividend") = TRUE, InvestorTable[[#This Row],[Monthly ROI (₦)]], AND(InvestorTable[[#This Row],[Investor Tally '#]] = 'Payment Tracker'!$A908, 'Payment Tracker'!$C908="Capital") = TRUE, InvestorTable[[#This Row],[Investment Capital (₦)]], AND(InvestorTable[[#This Row],[Investor Tally '#]] = 'Payment Tracker'!$A908, 'Payment Tracker'!$C908="Refund") = TRUE, InvestorTable[[#This Row],[Investment Capital (₦)]] )</f>
        <v>#N/A</v>
      </c>
      <c r="E908" s="15"/>
      <c r="F908" s="14"/>
      <c r="G908" s="14"/>
      <c r="H908" s="14"/>
    </row>
    <row r="909" spans="1:8" x14ac:dyDescent="0.3">
      <c r="A909" s="13"/>
      <c r="B909" s="16">
        <f>IF($A909=InvestorTable[[#This Row],[Investor Tally '#]],InvestorTable[[#This Row],[Investor Name]], NA())</f>
        <v>0</v>
      </c>
      <c r="C909" s="14"/>
      <c r="D909" s="17" t="e" cm="1">
        <f t="array" ref="D909">_xlfn.IFS(AND(InvestorTable[[#This Row],[Investor Tally '#]] = 'Payment Tracker'!$A909, 'Payment Tracker'!$C909="Dividend") = TRUE, InvestorTable[[#This Row],[Monthly ROI (₦)]], AND(InvestorTable[[#This Row],[Investor Tally '#]] = 'Payment Tracker'!$A909, 'Payment Tracker'!$C909="Capital") = TRUE, InvestorTable[[#This Row],[Investment Capital (₦)]], AND(InvestorTable[[#This Row],[Investor Tally '#]] = 'Payment Tracker'!$A909, 'Payment Tracker'!$C909="Refund") = TRUE, InvestorTable[[#This Row],[Investment Capital (₦)]] )</f>
        <v>#N/A</v>
      </c>
      <c r="E909" s="15"/>
      <c r="F909" s="14"/>
      <c r="G909" s="14"/>
      <c r="H909" s="14"/>
    </row>
    <row r="910" spans="1:8" x14ac:dyDescent="0.3">
      <c r="A910" s="13"/>
      <c r="B910" s="16">
        <f>IF($A910=InvestorTable[[#This Row],[Investor Tally '#]],InvestorTable[[#This Row],[Investor Name]], NA())</f>
        <v>0</v>
      </c>
      <c r="C910" s="14"/>
      <c r="D910" s="17" t="e" cm="1">
        <f t="array" ref="D910">_xlfn.IFS(AND(InvestorTable[[#This Row],[Investor Tally '#]] = 'Payment Tracker'!$A910, 'Payment Tracker'!$C910="Dividend") = TRUE, InvestorTable[[#This Row],[Monthly ROI (₦)]], AND(InvestorTable[[#This Row],[Investor Tally '#]] = 'Payment Tracker'!$A910, 'Payment Tracker'!$C910="Capital") = TRUE, InvestorTable[[#This Row],[Investment Capital (₦)]], AND(InvestorTable[[#This Row],[Investor Tally '#]] = 'Payment Tracker'!$A910, 'Payment Tracker'!$C910="Refund") = TRUE, InvestorTable[[#This Row],[Investment Capital (₦)]] )</f>
        <v>#N/A</v>
      </c>
      <c r="E910" s="15"/>
      <c r="F910" s="14"/>
      <c r="G910" s="14"/>
      <c r="H910" s="14"/>
    </row>
    <row r="911" spans="1:8" x14ac:dyDescent="0.3">
      <c r="A911" s="13"/>
      <c r="B911" s="16">
        <f>IF($A911=InvestorTable[[#This Row],[Investor Tally '#]],InvestorTable[[#This Row],[Investor Name]], NA())</f>
        <v>0</v>
      </c>
      <c r="C911" s="14"/>
      <c r="D911" s="17" t="e" cm="1">
        <f t="array" ref="D911">_xlfn.IFS(AND(InvestorTable[[#This Row],[Investor Tally '#]] = 'Payment Tracker'!$A911, 'Payment Tracker'!$C911="Dividend") = TRUE, InvestorTable[[#This Row],[Monthly ROI (₦)]], AND(InvestorTable[[#This Row],[Investor Tally '#]] = 'Payment Tracker'!$A911, 'Payment Tracker'!$C911="Capital") = TRUE, InvestorTable[[#This Row],[Investment Capital (₦)]], AND(InvestorTable[[#This Row],[Investor Tally '#]] = 'Payment Tracker'!$A911, 'Payment Tracker'!$C911="Refund") = TRUE, InvestorTable[[#This Row],[Investment Capital (₦)]] )</f>
        <v>#N/A</v>
      </c>
      <c r="E911" s="15"/>
      <c r="F911" s="14"/>
      <c r="G911" s="14"/>
      <c r="H911" s="14"/>
    </row>
    <row r="912" spans="1:8" x14ac:dyDescent="0.3">
      <c r="A912" s="13"/>
      <c r="B912" s="16">
        <f>IF($A912=InvestorTable[[#This Row],[Investor Tally '#]],InvestorTable[[#This Row],[Investor Name]], NA())</f>
        <v>0</v>
      </c>
      <c r="C912" s="14"/>
      <c r="D912" s="17" t="e" cm="1">
        <f t="array" ref="D912">_xlfn.IFS(AND(InvestorTable[[#This Row],[Investor Tally '#]] = 'Payment Tracker'!$A912, 'Payment Tracker'!$C912="Dividend") = TRUE, InvestorTable[[#This Row],[Monthly ROI (₦)]], AND(InvestorTable[[#This Row],[Investor Tally '#]] = 'Payment Tracker'!$A912, 'Payment Tracker'!$C912="Capital") = TRUE, InvestorTable[[#This Row],[Investment Capital (₦)]], AND(InvestorTable[[#This Row],[Investor Tally '#]] = 'Payment Tracker'!$A912, 'Payment Tracker'!$C912="Refund") = TRUE, InvestorTable[[#This Row],[Investment Capital (₦)]] )</f>
        <v>#N/A</v>
      </c>
      <c r="E912" s="15"/>
      <c r="F912" s="14"/>
      <c r="G912" s="14"/>
      <c r="H912" s="14"/>
    </row>
    <row r="913" spans="1:8" x14ac:dyDescent="0.3">
      <c r="A913" s="13"/>
      <c r="B913" s="16">
        <f>IF($A913=InvestorTable[[#This Row],[Investor Tally '#]],InvestorTable[[#This Row],[Investor Name]], NA())</f>
        <v>0</v>
      </c>
      <c r="C913" s="14"/>
      <c r="D913" s="17" t="e" cm="1">
        <f t="array" ref="D913">_xlfn.IFS(AND(InvestorTable[[#This Row],[Investor Tally '#]] = 'Payment Tracker'!$A913, 'Payment Tracker'!$C913="Dividend") = TRUE, InvestorTable[[#This Row],[Monthly ROI (₦)]], AND(InvestorTable[[#This Row],[Investor Tally '#]] = 'Payment Tracker'!$A913, 'Payment Tracker'!$C913="Capital") = TRUE, InvestorTable[[#This Row],[Investment Capital (₦)]], AND(InvestorTable[[#This Row],[Investor Tally '#]] = 'Payment Tracker'!$A913, 'Payment Tracker'!$C913="Refund") = TRUE, InvestorTable[[#This Row],[Investment Capital (₦)]] )</f>
        <v>#N/A</v>
      </c>
      <c r="E913" s="15"/>
      <c r="F913" s="14"/>
      <c r="G913" s="14"/>
      <c r="H913" s="14"/>
    </row>
    <row r="914" spans="1:8" x14ac:dyDescent="0.3">
      <c r="A914" s="13"/>
      <c r="B914" s="16">
        <f>IF($A914=InvestorTable[[#This Row],[Investor Tally '#]],InvestorTable[[#This Row],[Investor Name]], NA())</f>
        <v>0</v>
      </c>
      <c r="C914" s="14"/>
      <c r="D914" s="17" t="e" cm="1">
        <f t="array" ref="D914">_xlfn.IFS(AND(InvestorTable[[#This Row],[Investor Tally '#]] = 'Payment Tracker'!$A914, 'Payment Tracker'!$C914="Dividend") = TRUE, InvestorTable[[#This Row],[Monthly ROI (₦)]], AND(InvestorTable[[#This Row],[Investor Tally '#]] = 'Payment Tracker'!$A914, 'Payment Tracker'!$C914="Capital") = TRUE, InvestorTable[[#This Row],[Investment Capital (₦)]], AND(InvestorTable[[#This Row],[Investor Tally '#]] = 'Payment Tracker'!$A914, 'Payment Tracker'!$C914="Refund") = TRUE, InvestorTable[[#This Row],[Investment Capital (₦)]] )</f>
        <v>#N/A</v>
      </c>
      <c r="E914" s="15"/>
      <c r="F914" s="14"/>
      <c r="G914" s="14"/>
      <c r="H914" s="14"/>
    </row>
    <row r="915" spans="1:8" x14ac:dyDescent="0.3">
      <c r="A915" s="13"/>
      <c r="B915" s="16">
        <f>IF($A915=InvestorTable[[#This Row],[Investor Tally '#]],InvestorTable[[#This Row],[Investor Name]], NA())</f>
        <v>0</v>
      </c>
      <c r="C915" s="14"/>
      <c r="D915" s="17" t="e" cm="1">
        <f t="array" ref="D915">_xlfn.IFS(AND(InvestorTable[[#This Row],[Investor Tally '#]] = 'Payment Tracker'!$A915, 'Payment Tracker'!$C915="Dividend") = TRUE, InvestorTable[[#This Row],[Monthly ROI (₦)]], AND(InvestorTable[[#This Row],[Investor Tally '#]] = 'Payment Tracker'!$A915, 'Payment Tracker'!$C915="Capital") = TRUE, InvestorTable[[#This Row],[Investment Capital (₦)]], AND(InvestorTable[[#This Row],[Investor Tally '#]] = 'Payment Tracker'!$A915, 'Payment Tracker'!$C915="Refund") = TRUE, InvestorTable[[#This Row],[Investment Capital (₦)]] )</f>
        <v>#N/A</v>
      </c>
      <c r="E915" s="15"/>
      <c r="F915" s="14"/>
      <c r="G915" s="14"/>
      <c r="H915" s="14"/>
    </row>
    <row r="916" spans="1:8" x14ac:dyDescent="0.3">
      <c r="A916" s="13"/>
      <c r="B916" s="16">
        <f>IF($A916=InvestorTable[[#This Row],[Investor Tally '#]],InvestorTable[[#This Row],[Investor Name]], NA())</f>
        <v>0</v>
      </c>
      <c r="C916" s="14"/>
      <c r="D916" s="17" t="e" cm="1">
        <f t="array" ref="D916">_xlfn.IFS(AND(InvestorTable[[#This Row],[Investor Tally '#]] = 'Payment Tracker'!$A916, 'Payment Tracker'!$C916="Dividend") = TRUE, InvestorTable[[#This Row],[Monthly ROI (₦)]], AND(InvestorTable[[#This Row],[Investor Tally '#]] = 'Payment Tracker'!$A916, 'Payment Tracker'!$C916="Capital") = TRUE, InvestorTable[[#This Row],[Investment Capital (₦)]], AND(InvestorTable[[#This Row],[Investor Tally '#]] = 'Payment Tracker'!$A916, 'Payment Tracker'!$C916="Refund") = TRUE, InvestorTable[[#This Row],[Investment Capital (₦)]] )</f>
        <v>#N/A</v>
      </c>
      <c r="E916" s="15"/>
      <c r="F916" s="14"/>
      <c r="G916" s="14"/>
      <c r="H916" s="14"/>
    </row>
    <row r="917" spans="1:8" x14ac:dyDescent="0.3">
      <c r="A917" s="13"/>
      <c r="B917" s="16">
        <f>IF($A917=InvestorTable[[#This Row],[Investor Tally '#]],InvestorTable[[#This Row],[Investor Name]], NA())</f>
        <v>0</v>
      </c>
      <c r="C917" s="14"/>
      <c r="D917" s="17" t="e" cm="1">
        <f t="array" ref="D917">_xlfn.IFS(AND(InvestorTable[[#This Row],[Investor Tally '#]] = 'Payment Tracker'!$A917, 'Payment Tracker'!$C917="Dividend") = TRUE, InvestorTable[[#This Row],[Monthly ROI (₦)]], AND(InvestorTable[[#This Row],[Investor Tally '#]] = 'Payment Tracker'!$A917, 'Payment Tracker'!$C917="Capital") = TRUE, InvestorTable[[#This Row],[Investment Capital (₦)]], AND(InvestorTable[[#This Row],[Investor Tally '#]] = 'Payment Tracker'!$A917, 'Payment Tracker'!$C917="Refund") = TRUE, InvestorTable[[#This Row],[Investment Capital (₦)]] )</f>
        <v>#N/A</v>
      </c>
      <c r="E917" s="15"/>
      <c r="F917" s="14"/>
      <c r="G917" s="14"/>
      <c r="H917" s="14"/>
    </row>
    <row r="918" spans="1:8" x14ac:dyDescent="0.3">
      <c r="A918" s="13"/>
      <c r="B918" s="16">
        <f>IF($A918=InvestorTable[[#This Row],[Investor Tally '#]],InvestorTable[[#This Row],[Investor Name]], NA())</f>
        <v>0</v>
      </c>
      <c r="C918" s="14"/>
      <c r="D918" s="17" t="e" cm="1">
        <f t="array" ref="D918">_xlfn.IFS(AND(InvestorTable[[#This Row],[Investor Tally '#]] = 'Payment Tracker'!$A918, 'Payment Tracker'!$C918="Dividend") = TRUE, InvestorTable[[#This Row],[Monthly ROI (₦)]], AND(InvestorTable[[#This Row],[Investor Tally '#]] = 'Payment Tracker'!$A918, 'Payment Tracker'!$C918="Capital") = TRUE, InvestorTable[[#This Row],[Investment Capital (₦)]], AND(InvestorTable[[#This Row],[Investor Tally '#]] = 'Payment Tracker'!$A918, 'Payment Tracker'!$C918="Refund") = TRUE, InvestorTable[[#This Row],[Investment Capital (₦)]] )</f>
        <v>#N/A</v>
      </c>
      <c r="E918" s="15"/>
      <c r="F918" s="14"/>
      <c r="G918" s="14"/>
      <c r="H918" s="14"/>
    </row>
    <row r="919" spans="1:8" x14ac:dyDescent="0.3">
      <c r="A919" s="13"/>
      <c r="B919" s="16">
        <f>IF($A919=InvestorTable[[#This Row],[Investor Tally '#]],InvestorTable[[#This Row],[Investor Name]], NA())</f>
        <v>0</v>
      </c>
      <c r="C919" s="14"/>
      <c r="D919" s="17" t="e" cm="1">
        <f t="array" ref="D919">_xlfn.IFS(AND(InvestorTable[[#This Row],[Investor Tally '#]] = 'Payment Tracker'!$A919, 'Payment Tracker'!$C919="Dividend") = TRUE, InvestorTable[[#This Row],[Monthly ROI (₦)]], AND(InvestorTable[[#This Row],[Investor Tally '#]] = 'Payment Tracker'!$A919, 'Payment Tracker'!$C919="Capital") = TRUE, InvestorTable[[#This Row],[Investment Capital (₦)]], AND(InvestorTable[[#This Row],[Investor Tally '#]] = 'Payment Tracker'!$A919, 'Payment Tracker'!$C919="Refund") = TRUE, InvestorTable[[#This Row],[Investment Capital (₦)]] )</f>
        <v>#N/A</v>
      </c>
      <c r="E919" s="15"/>
      <c r="F919" s="14"/>
      <c r="G919" s="14"/>
      <c r="H919" s="14"/>
    </row>
    <row r="920" spans="1:8" x14ac:dyDescent="0.3">
      <c r="A920" s="13"/>
      <c r="B920" s="16">
        <f>IF($A920=InvestorTable[[#This Row],[Investor Tally '#]],InvestorTable[[#This Row],[Investor Name]], NA())</f>
        <v>0</v>
      </c>
      <c r="C920" s="14"/>
      <c r="D920" s="17" t="e" cm="1">
        <f t="array" ref="D920">_xlfn.IFS(AND(InvestorTable[[#This Row],[Investor Tally '#]] = 'Payment Tracker'!$A920, 'Payment Tracker'!$C920="Dividend") = TRUE, InvestorTable[[#This Row],[Monthly ROI (₦)]], AND(InvestorTable[[#This Row],[Investor Tally '#]] = 'Payment Tracker'!$A920, 'Payment Tracker'!$C920="Capital") = TRUE, InvestorTable[[#This Row],[Investment Capital (₦)]], AND(InvestorTable[[#This Row],[Investor Tally '#]] = 'Payment Tracker'!$A920, 'Payment Tracker'!$C920="Refund") = TRUE, InvestorTable[[#This Row],[Investment Capital (₦)]] )</f>
        <v>#N/A</v>
      </c>
      <c r="E920" s="15"/>
      <c r="F920" s="14"/>
      <c r="G920" s="14"/>
      <c r="H920" s="14"/>
    </row>
    <row r="921" spans="1:8" x14ac:dyDescent="0.3">
      <c r="A921" s="13"/>
      <c r="B921" s="16">
        <f>IF($A921=InvestorTable[[#This Row],[Investor Tally '#]],InvestorTable[[#This Row],[Investor Name]], NA())</f>
        <v>0</v>
      </c>
      <c r="C921" s="14"/>
      <c r="D921" s="17" t="e" cm="1">
        <f t="array" ref="D921">_xlfn.IFS(AND(InvestorTable[[#This Row],[Investor Tally '#]] = 'Payment Tracker'!$A921, 'Payment Tracker'!$C921="Dividend") = TRUE, InvestorTable[[#This Row],[Monthly ROI (₦)]], AND(InvestorTable[[#This Row],[Investor Tally '#]] = 'Payment Tracker'!$A921, 'Payment Tracker'!$C921="Capital") = TRUE, InvestorTable[[#This Row],[Investment Capital (₦)]], AND(InvestorTable[[#This Row],[Investor Tally '#]] = 'Payment Tracker'!$A921, 'Payment Tracker'!$C921="Refund") = TRUE, InvestorTable[[#This Row],[Investment Capital (₦)]] )</f>
        <v>#N/A</v>
      </c>
      <c r="E921" s="15"/>
      <c r="F921" s="14"/>
      <c r="G921" s="14"/>
      <c r="H921" s="14"/>
    </row>
    <row r="922" spans="1:8" x14ac:dyDescent="0.3">
      <c r="A922" s="13"/>
      <c r="B922" s="16">
        <f>IF($A922=InvestorTable[[#This Row],[Investor Tally '#]],InvestorTable[[#This Row],[Investor Name]], NA())</f>
        <v>0</v>
      </c>
      <c r="C922" s="14"/>
      <c r="D922" s="17" t="e" cm="1">
        <f t="array" ref="D922">_xlfn.IFS(AND(InvestorTable[[#This Row],[Investor Tally '#]] = 'Payment Tracker'!$A922, 'Payment Tracker'!$C922="Dividend") = TRUE, InvestorTable[[#This Row],[Monthly ROI (₦)]], AND(InvestorTable[[#This Row],[Investor Tally '#]] = 'Payment Tracker'!$A922, 'Payment Tracker'!$C922="Capital") = TRUE, InvestorTable[[#This Row],[Investment Capital (₦)]], AND(InvestorTable[[#This Row],[Investor Tally '#]] = 'Payment Tracker'!$A922, 'Payment Tracker'!$C922="Refund") = TRUE, InvestorTable[[#This Row],[Investment Capital (₦)]] )</f>
        <v>#N/A</v>
      </c>
      <c r="E922" s="15"/>
      <c r="F922" s="14"/>
      <c r="G922" s="14"/>
      <c r="H922" s="14"/>
    </row>
    <row r="923" spans="1:8" x14ac:dyDescent="0.3">
      <c r="A923" s="13"/>
      <c r="B923" s="16">
        <f>IF($A923=InvestorTable[[#This Row],[Investor Tally '#]],InvestorTable[[#This Row],[Investor Name]], NA())</f>
        <v>0</v>
      </c>
      <c r="C923" s="14"/>
      <c r="D923" s="17" t="e" cm="1">
        <f t="array" ref="D923">_xlfn.IFS(AND(InvestorTable[[#This Row],[Investor Tally '#]] = 'Payment Tracker'!$A923, 'Payment Tracker'!$C923="Dividend") = TRUE, InvestorTable[[#This Row],[Monthly ROI (₦)]], AND(InvestorTable[[#This Row],[Investor Tally '#]] = 'Payment Tracker'!$A923, 'Payment Tracker'!$C923="Capital") = TRUE, InvestorTable[[#This Row],[Investment Capital (₦)]], AND(InvestorTable[[#This Row],[Investor Tally '#]] = 'Payment Tracker'!$A923, 'Payment Tracker'!$C923="Refund") = TRUE, InvestorTable[[#This Row],[Investment Capital (₦)]] )</f>
        <v>#N/A</v>
      </c>
      <c r="E923" s="15"/>
      <c r="F923" s="14"/>
      <c r="G923" s="14"/>
      <c r="H923" s="14"/>
    </row>
    <row r="924" spans="1:8" x14ac:dyDescent="0.3">
      <c r="A924" s="13"/>
      <c r="B924" s="16">
        <f>IF($A924=InvestorTable[[#This Row],[Investor Tally '#]],InvestorTable[[#This Row],[Investor Name]], NA())</f>
        <v>0</v>
      </c>
      <c r="C924" s="14"/>
      <c r="D924" s="17" t="e" cm="1">
        <f t="array" ref="D924">_xlfn.IFS(AND(InvestorTable[[#This Row],[Investor Tally '#]] = 'Payment Tracker'!$A924, 'Payment Tracker'!$C924="Dividend") = TRUE, InvestorTable[[#This Row],[Monthly ROI (₦)]], AND(InvestorTable[[#This Row],[Investor Tally '#]] = 'Payment Tracker'!$A924, 'Payment Tracker'!$C924="Capital") = TRUE, InvestorTable[[#This Row],[Investment Capital (₦)]], AND(InvestorTable[[#This Row],[Investor Tally '#]] = 'Payment Tracker'!$A924, 'Payment Tracker'!$C924="Refund") = TRUE, InvestorTable[[#This Row],[Investment Capital (₦)]] )</f>
        <v>#N/A</v>
      </c>
      <c r="E924" s="15"/>
      <c r="F924" s="14"/>
      <c r="G924" s="14"/>
      <c r="H924" s="14"/>
    </row>
    <row r="925" spans="1:8" x14ac:dyDescent="0.3">
      <c r="A925" s="13"/>
      <c r="B925" s="16">
        <f>IF($A925=InvestorTable[[#This Row],[Investor Tally '#]],InvestorTable[[#This Row],[Investor Name]], NA())</f>
        <v>0</v>
      </c>
      <c r="C925" s="14"/>
      <c r="D925" s="17" t="e" cm="1">
        <f t="array" ref="D925">_xlfn.IFS(AND(InvestorTable[[#This Row],[Investor Tally '#]] = 'Payment Tracker'!$A925, 'Payment Tracker'!$C925="Dividend") = TRUE, InvestorTable[[#This Row],[Monthly ROI (₦)]], AND(InvestorTable[[#This Row],[Investor Tally '#]] = 'Payment Tracker'!$A925, 'Payment Tracker'!$C925="Capital") = TRUE, InvestorTable[[#This Row],[Investment Capital (₦)]], AND(InvestorTable[[#This Row],[Investor Tally '#]] = 'Payment Tracker'!$A925, 'Payment Tracker'!$C925="Refund") = TRUE, InvestorTable[[#This Row],[Investment Capital (₦)]] )</f>
        <v>#N/A</v>
      </c>
      <c r="E925" s="15"/>
      <c r="F925" s="14"/>
      <c r="G925" s="14"/>
      <c r="H925" s="14"/>
    </row>
    <row r="926" spans="1:8" x14ac:dyDescent="0.3">
      <c r="A926" s="13"/>
      <c r="B926" s="16">
        <f>IF($A926=InvestorTable[[#This Row],[Investor Tally '#]],InvestorTable[[#This Row],[Investor Name]], NA())</f>
        <v>0</v>
      </c>
      <c r="C926" s="14"/>
      <c r="D926" s="17" t="e" cm="1">
        <f t="array" ref="D926">_xlfn.IFS(AND(InvestorTable[[#This Row],[Investor Tally '#]] = 'Payment Tracker'!$A926, 'Payment Tracker'!$C926="Dividend") = TRUE, InvestorTable[[#This Row],[Monthly ROI (₦)]], AND(InvestorTable[[#This Row],[Investor Tally '#]] = 'Payment Tracker'!$A926, 'Payment Tracker'!$C926="Capital") = TRUE, InvestorTable[[#This Row],[Investment Capital (₦)]], AND(InvestorTable[[#This Row],[Investor Tally '#]] = 'Payment Tracker'!$A926, 'Payment Tracker'!$C926="Refund") = TRUE, InvestorTable[[#This Row],[Investment Capital (₦)]] )</f>
        <v>#N/A</v>
      </c>
      <c r="E926" s="15"/>
      <c r="F926" s="14"/>
      <c r="G926" s="14"/>
      <c r="H926" s="14"/>
    </row>
    <row r="927" spans="1:8" x14ac:dyDescent="0.3">
      <c r="A927" s="13"/>
      <c r="B927" s="16">
        <f>IF($A927=InvestorTable[[#This Row],[Investor Tally '#]],InvestorTable[[#This Row],[Investor Name]], NA())</f>
        <v>0</v>
      </c>
      <c r="C927" s="14"/>
      <c r="D927" s="17" t="e" cm="1">
        <f t="array" ref="D927">_xlfn.IFS(AND(InvestorTable[[#This Row],[Investor Tally '#]] = 'Payment Tracker'!$A927, 'Payment Tracker'!$C927="Dividend") = TRUE, InvestorTable[[#This Row],[Monthly ROI (₦)]], AND(InvestorTable[[#This Row],[Investor Tally '#]] = 'Payment Tracker'!$A927, 'Payment Tracker'!$C927="Capital") = TRUE, InvestorTable[[#This Row],[Investment Capital (₦)]], AND(InvestorTable[[#This Row],[Investor Tally '#]] = 'Payment Tracker'!$A927, 'Payment Tracker'!$C927="Refund") = TRUE, InvestorTable[[#This Row],[Investment Capital (₦)]] )</f>
        <v>#N/A</v>
      </c>
      <c r="E927" s="15"/>
      <c r="F927" s="14"/>
      <c r="G927" s="14"/>
      <c r="H927" s="14"/>
    </row>
    <row r="928" spans="1:8" x14ac:dyDescent="0.3">
      <c r="A928" s="13"/>
      <c r="B928" s="16">
        <f>IF($A928=InvestorTable[[#This Row],[Investor Tally '#]],InvestorTable[[#This Row],[Investor Name]], NA())</f>
        <v>0</v>
      </c>
      <c r="C928" s="14"/>
      <c r="D928" s="17" t="e" cm="1">
        <f t="array" ref="D928">_xlfn.IFS(AND(InvestorTable[[#This Row],[Investor Tally '#]] = 'Payment Tracker'!$A928, 'Payment Tracker'!$C928="Dividend") = TRUE, InvestorTable[[#This Row],[Monthly ROI (₦)]], AND(InvestorTable[[#This Row],[Investor Tally '#]] = 'Payment Tracker'!$A928, 'Payment Tracker'!$C928="Capital") = TRUE, InvestorTable[[#This Row],[Investment Capital (₦)]], AND(InvestorTable[[#This Row],[Investor Tally '#]] = 'Payment Tracker'!$A928, 'Payment Tracker'!$C928="Refund") = TRUE, InvestorTable[[#This Row],[Investment Capital (₦)]] )</f>
        <v>#N/A</v>
      </c>
      <c r="E928" s="15"/>
      <c r="F928" s="14"/>
      <c r="G928" s="14"/>
      <c r="H928" s="14"/>
    </row>
    <row r="929" spans="1:8" x14ac:dyDescent="0.3">
      <c r="A929" s="13"/>
      <c r="B929" s="16">
        <f>IF($A929=InvestorTable[[#This Row],[Investor Tally '#]],InvestorTable[[#This Row],[Investor Name]], NA())</f>
        <v>0</v>
      </c>
      <c r="C929" s="14"/>
      <c r="D929" s="17" t="e" cm="1">
        <f t="array" ref="D929">_xlfn.IFS(AND(InvestorTable[[#This Row],[Investor Tally '#]] = 'Payment Tracker'!$A929, 'Payment Tracker'!$C929="Dividend") = TRUE, InvestorTable[[#This Row],[Monthly ROI (₦)]], AND(InvestorTable[[#This Row],[Investor Tally '#]] = 'Payment Tracker'!$A929, 'Payment Tracker'!$C929="Capital") = TRUE, InvestorTable[[#This Row],[Investment Capital (₦)]], AND(InvestorTable[[#This Row],[Investor Tally '#]] = 'Payment Tracker'!$A929, 'Payment Tracker'!$C929="Refund") = TRUE, InvestorTable[[#This Row],[Investment Capital (₦)]] )</f>
        <v>#N/A</v>
      </c>
      <c r="E929" s="15"/>
      <c r="F929" s="14"/>
      <c r="G929" s="14"/>
      <c r="H929" s="14"/>
    </row>
    <row r="930" spans="1:8" x14ac:dyDescent="0.3">
      <c r="A930" s="13"/>
      <c r="B930" s="16">
        <f>IF($A930=InvestorTable[[#This Row],[Investor Tally '#]],InvestorTable[[#This Row],[Investor Name]], NA())</f>
        <v>0</v>
      </c>
      <c r="C930" s="14"/>
      <c r="D930" s="17" t="e" cm="1">
        <f t="array" ref="D930">_xlfn.IFS(AND(InvestorTable[[#This Row],[Investor Tally '#]] = 'Payment Tracker'!$A930, 'Payment Tracker'!$C930="Dividend") = TRUE, InvestorTable[[#This Row],[Monthly ROI (₦)]], AND(InvestorTable[[#This Row],[Investor Tally '#]] = 'Payment Tracker'!$A930, 'Payment Tracker'!$C930="Capital") = TRUE, InvestorTable[[#This Row],[Investment Capital (₦)]], AND(InvestorTable[[#This Row],[Investor Tally '#]] = 'Payment Tracker'!$A930, 'Payment Tracker'!$C930="Refund") = TRUE, InvestorTable[[#This Row],[Investment Capital (₦)]] )</f>
        <v>#N/A</v>
      </c>
      <c r="E930" s="15"/>
      <c r="F930" s="14"/>
      <c r="G930" s="14"/>
      <c r="H930" s="14"/>
    </row>
    <row r="931" spans="1:8" x14ac:dyDescent="0.3">
      <c r="A931" s="13"/>
      <c r="B931" s="16">
        <f>IF($A931=InvestorTable[[#This Row],[Investor Tally '#]],InvestorTable[[#This Row],[Investor Name]], NA())</f>
        <v>0</v>
      </c>
      <c r="C931" s="14"/>
      <c r="D931" s="17" t="e" cm="1">
        <f t="array" ref="D931">_xlfn.IFS(AND(InvestorTable[[#This Row],[Investor Tally '#]] = 'Payment Tracker'!$A931, 'Payment Tracker'!$C931="Dividend") = TRUE, InvestorTable[[#This Row],[Monthly ROI (₦)]], AND(InvestorTable[[#This Row],[Investor Tally '#]] = 'Payment Tracker'!$A931, 'Payment Tracker'!$C931="Capital") = TRUE, InvestorTable[[#This Row],[Investment Capital (₦)]], AND(InvestorTable[[#This Row],[Investor Tally '#]] = 'Payment Tracker'!$A931, 'Payment Tracker'!$C931="Refund") = TRUE, InvestorTable[[#This Row],[Investment Capital (₦)]] )</f>
        <v>#N/A</v>
      </c>
      <c r="E931" s="15"/>
      <c r="F931" s="14"/>
      <c r="G931" s="14"/>
      <c r="H931" s="14"/>
    </row>
    <row r="932" spans="1:8" x14ac:dyDescent="0.3">
      <c r="A932" s="13"/>
      <c r="B932" s="16">
        <f>IF($A932=InvestorTable[[#This Row],[Investor Tally '#]],InvestorTable[[#This Row],[Investor Name]], NA())</f>
        <v>0</v>
      </c>
      <c r="C932" s="14"/>
      <c r="D932" s="17" t="e" cm="1">
        <f t="array" ref="D932">_xlfn.IFS(AND(InvestorTable[[#This Row],[Investor Tally '#]] = 'Payment Tracker'!$A932, 'Payment Tracker'!$C932="Dividend") = TRUE, InvestorTable[[#This Row],[Monthly ROI (₦)]], AND(InvestorTable[[#This Row],[Investor Tally '#]] = 'Payment Tracker'!$A932, 'Payment Tracker'!$C932="Capital") = TRUE, InvestorTable[[#This Row],[Investment Capital (₦)]], AND(InvestorTable[[#This Row],[Investor Tally '#]] = 'Payment Tracker'!$A932, 'Payment Tracker'!$C932="Refund") = TRUE, InvestorTable[[#This Row],[Investment Capital (₦)]] )</f>
        <v>#N/A</v>
      </c>
      <c r="E932" s="15"/>
      <c r="F932" s="14"/>
      <c r="G932" s="14"/>
      <c r="H932" s="14"/>
    </row>
    <row r="933" spans="1:8" x14ac:dyDescent="0.3">
      <c r="A933" s="13"/>
      <c r="B933" s="16">
        <f>IF($A933=InvestorTable[[#This Row],[Investor Tally '#]],InvestorTable[[#This Row],[Investor Name]], NA())</f>
        <v>0</v>
      </c>
      <c r="C933" s="14"/>
      <c r="D933" s="17" t="e" cm="1">
        <f t="array" ref="D933">_xlfn.IFS(AND(InvestorTable[[#This Row],[Investor Tally '#]] = 'Payment Tracker'!$A933, 'Payment Tracker'!$C933="Dividend") = TRUE, InvestorTable[[#This Row],[Monthly ROI (₦)]], AND(InvestorTable[[#This Row],[Investor Tally '#]] = 'Payment Tracker'!$A933, 'Payment Tracker'!$C933="Capital") = TRUE, InvestorTable[[#This Row],[Investment Capital (₦)]], AND(InvestorTable[[#This Row],[Investor Tally '#]] = 'Payment Tracker'!$A933, 'Payment Tracker'!$C933="Refund") = TRUE, InvestorTable[[#This Row],[Investment Capital (₦)]] )</f>
        <v>#N/A</v>
      </c>
      <c r="E933" s="15"/>
      <c r="F933" s="14"/>
      <c r="G933" s="14"/>
      <c r="H933" s="14"/>
    </row>
    <row r="934" spans="1:8" x14ac:dyDescent="0.3">
      <c r="A934" s="13"/>
      <c r="B934" s="16">
        <f>IF($A934=InvestorTable[[#This Row],[Investor Tally '#]],InvestorTable[[#This Row],[Investor Name]], NA())</f>
        <v>0</v>
      </c>
      <c r="C934" s="14"/>
      <c r="D934" s="17" t="e" cm="1">
        <f t="array" ref="D934">_xlfn.IFS(AND(InvestorTable[[#This Row],[Investor Tally '#]] = 'Payment Tracker'!$A934, 'Payment Tracker'!$C934="Dividend") = TRUE, InvestorTable[[#This Row],[Monthly ROI (₦)]], AND(InvestorTable[[#This Row],[Investor Tally '#]] = 'Payment Tracker'!$A934, 'Payment Tracker'!$C934="Capital") = TRUE, InvestorTable[[#This Row],[Investment Capital (₦)]], AND(InvestorTable[[#This Row],[Investor Tally '#]] = 'Payment Tracker'!$A934, 'Payment Tracker'!$C934="Refund") = TRUE, InvestorTable[[#This Row],[Investment Capital (₦)]] )</f>
        <v>#N/A</v>
      </c>
      <c r="E934" s="15"/>
      <c r="F934" s="14"/>
      <c r="G934" s="14"/>
      <c r="H934" s="14"/>
    </row>
    <row r="935" spans="1:8" x14ac:dyDescent="0.3">
      <c r="A935" s="13"/>
      <c r="B935" s="16">
        <f>IF($A935=InvestorTable[[#This Row],[Investor Tally '#]],InvestorTable[[#This Row],[Investor Name]], NA())</f>
        <v>0</v>
      </c>
      <c r="C935" s="14"/>
      <c r="D935" s="17" t="e" cm="1">
        <f t="array" ref="D935">_xlfn.IFS(AND(InvestorTable[[#This Row],[Investor Tally '#]] = 'Payment Tracker'!$A935, 'Payment Tracker'!$C935="Dividend") = TRUE, InvestorTable[[#This Row],[Monthly ROI (₦)]], AND(InvestorTable[[#This Row],[Investor Tally '#]] = 'Payment Tracker'!$A935, 'Payment Tracker'!$C935="Capital") = TRUE, InvestorTable[[#This Row],[Investment Capital (₦)]], AND(InvestorTable[[#This Row],[Investor Tally '#]] = 'Payment Tracker'!$A935, 'Payment Tracker'!$C935="Refund") = TRUE, InvestorTable[[#This Row],[Investment Capital (₦)]] )</f>
        <v>#N/A</v>
      </c>
      <c r="E935" s="15"/>
      <c r="F935" s="14"/>
      <c r="G935" s="14"/>
      <c r="H935" s="14"/>
    </row>
    <row r="936" spans="1:8" x14ac:dyDescent="0.3">
      <c r="A936" s="13"/>
      <c r="B936" s="16">
        <f>IF($A936=InvestorTable[[#This Row],[Investor Tally '#]],InvestorTable[[#This Row],[Investor Name]], NA())</f>
        <v>0</v>
      </c>
      <c r="C936" s="14"/>
      <c r="D936" s="17" t="e" cm="1">
        <f t="array" ref="D936">_xlfn.IFS(AND(InvestorTable[[#This Row],[Investor Tally '#]] = 'Payment Tracker'!$A936, 'Payment Tracker'!$C936="Dividend") = TRUE, InvestorTable[[#This Row],[Monthly ROI (₦)]], AND(InvestorTable[[#This Row],[Investor Tally '#]] = 'Payment Tracker'!$A936, 'Payment Tracker'!$C936="Capital") = TRUE, InvestorTable[[#This Row],[Investment Capital (₦)]], AND(InvestorTable[[#This Row],[Investor Tally '#]] = 'Payment Tracker'!$A936, 'Payment Tracker'!$C936="Refund") = TRUE, InvestorTable[[#This Row],[Investment Capital (₦)]] )</f>
        <v>#N/A</v>
      </c>
      <c r="E936" s="15"/>
      <c r="F936" s="14"/>
      <c r="G936" s="14"/>
      <c r="H936" s="14"/>
    </row>
    <row r="937" spans="1:8" x14ac:dyDescent="0.3">
      <c r="A937" s="13"/>
      <c r="B937" s="16">
        <f>IF($A937=InvestorTable[[#This Row],[Investor Tally '#]],InvestorTable[[#This Row],[Investor Name]], NA())</f>
        <v>0</v>
      </c>
      <c r="C937" s="14"/>
      <c r="D937" s="17" t="e" cm="1">
        <f t="array" ref="D937">_xlfn.IFS(AND(InvestorTable[[#This Row],[Investor Tally '#]] = 'Payment Tracker'!$A937, 'Payment Tracker'!$C937="Dividend") = TRUE, InvestorTable[[#This Row],[Monthly ROI (₦)]], AND(InvestorTable[[#This Row],[Investor Tally '#]] = 'Payment Tracker'!$A937, 'Payment Tracker'!$C937="Capital") = TRUE, InvestorTable[[#This Row],[Investment Capital (₦)]], AND(InvestorTable[[#This Row],[Investor Tally '#]] = 'Payment Tracker'!$A937, 'Payment Tracker'!$C937="Refund") = TRUE, InvestorTable[[#This Row],[Investment Capital (₦)]] )</f>
        <v>#N/A</v>
      </c>
      <c r="E937" s="15"/>
      <c r="F937" s="14"/>
      <c r="G937" s="14"/>
      <c r="H937" s="14"/>
    </row>
    <row r="938" spans="1:8" x14ac:dyDescent="0.3">
      <c r="A938" s="13"/>
      <c r="B938" s="16">
        <f>IF($A938=InvestorTable[[#This Row],[Investor Tally '#]],InvestorTable[[#This Row],[Investor Name]], NA())</f>
        <v>0</v>
      </c>
      <c r="C938" s="14"/>
      <c r="D938" s="17" t="e" cm="1">
        <f t="array" ref="D938">_xlfn.IFS(AND(InvestorTable[[#This Row],[Investor Tally '#]] = 'Payment Tracker'!$A938, 'Payment Tracker'!$C938="Dividend") = TRUE, InvestorTable[[#This Row],[Monthly ROI (₦)]], AND(InvestorTable[[#This Row],[Investor Tally '#]] = 'Payment Tracker'!$A938, 'Payment Tracker'!$C938="Capital") = TRUE, InvestorTable[[#This Row],[Investment Capital (₦)]], AND(InvestorTable[[#This Row],[Investor Tally '#]] = 'Payment Tracker'!$A938, 'Payment Tracker'!$C938="Refund") = TRUE, InvestorTable[[#This Row],[Investment Capital (₦)]] )</f>
        <v>#N/A</v>
      </c>
      <c r="E938" s="15"/>
      <c r="F938" s="14"/>
      <c r="G938" s="14"/>
      <c r="H938" s="14"/>
    </row>
    <row r="939" spans="1:8" x14ac:dyDescent="0.3">
      <c r="A939" s="13"/>
      <c r="B939" s="16">
        <f>IF($A939=InvestorTable[[#This Row],[Investor Tally '#]],InvestorTable[[#This Row],[Investor Name]], NA())</f>
        <v>0</v>
      </c>
      <c r="C939" s="14"/>
      <c r="D939" s="17" t="e" cm="1">
        <f t="array" ref="D939">_xlfn.IFS(AND(InvestorTable[[#This Row],[Investor Tally '#]] = 'Payment Tracker'!$A939, 'Payment Tracker'!$C939="Dividend") = TRUE, InvestorTable[[#This Row],[Monthly ROI (₦)]], AND(InvestorTable[[#This Row],[Investor Tally '#]] = 'Payment Tracker'!$A939, 'Payment Tracker'!$C939="Capital") = TRUE, InvestorTable[[#This Row],[Investment Capital (₦)]], AND(InvestorTable[[#This Row],[Investor Tally '#]] = 'Payment Tracker'!$A939, 'Payment Tracker'!$C939="Refund") = TRUE, InvestorTable[[#This Row],[Investment Capital (₦)]] )</f>
        <v>#N/A</v>
      </c>
      <c r="E939" s="15"/>
      <c r="F939" s="14"/>
      <c r="G939" s="14"/>
      <c r="H939" s="14"/>
    </row>
    <row r="940" spans="1:8" x14ac:dyDescent="0.3">
      <c r="A940" s="13"/>
      <c r="B940" s="16">
        <f>IF($A940=InvestorTable[[#This Row],[Investor Tally '#]],InvestorTable[[#This Row],[Investor Name]], NA())</f>
        <v>0</v>
      </c>
      <c r="C940" s="14"/>
      <c r="D940" s="17" t="e" cm="1">
        <f t="array" ref="D940">_xlfn.IFS(AND(InvestorTable[[#This Row],[Investor Tally '#]] = 'Payment Tracker'!$A940, 'Payment Tracker'!$C940="Dividend") = TRUE, InvestorTable[[#This Row],[Monthly ROI (₦)]], AND(InvestorTable[[#This Row],[Investor Tally '#]] = 'Payment Tracker'!$A940, 'Payment Tracker'!$C940="Capital") = TRUE, InvestorTable[[#This Row],[Investment Capital (₦)]], AND(InvestorTable[[#This Row],[Investor Tally '#]] = 'Payment Tracker'!$A940, 'Payment Tracker'!$C940="Refund") = TRUE, InvestorTable[[#This Row],[Investment Capital (₦)]] )</f>
        <v>#N/A</v>
      </c>
      <c r="E940" s="15"/>
      <c r="F940" s="14"/>
      <c r="G940" s="14"/>
      <c r="H940" s="14"/>
    </row>
    <row r="941" spans="1:8" x14ac:dyDescent="0.3">
      <c r="A941" s="13"/>
      <c r="B941" s="16">
        <f>IF($A941=InvestorTable[[#This Row],[Investor Tally '#]],InvestorTable[[#This Row],[Investor Name]], NA())</f>
        <v>0</v>
      </c>
      <c r="C941" s="14"/>
      <c r="D941" s="17" t="e" cm="1">
        <f t="array" ref="D941">_xlfn.IFS(AND(InvestorTable[[#This Row],[Investor Tally '#]] = 'Payment Tracker'!$A941, 'Payment Tracker'!$C941="Dividend") = TRUE, InvestorTable[[#This Row],[Monthly ROI (₦)]], AND(InvestorTable[[#This Row],[Investor Tally '#]] = 'Payment Tracker'!$A941, 'Payment Tracker'!$C941="Capital") = TRUE, InvestorTable[[#This Row],[Investment Capital (₦)]], AND(InvestorTable[[#This Row],[Investor Tally '#]] = 'Payment Tracker'!$A941, 'Payment Tracker'!$C941="Refund") = TRUE, InvestorTable[[#This Row],[Investment Capital (₦)]] )</f>
        <v>#N/A</v>
      </c>
      <c r="E941" s="15"/>
      <c r="F941" s="14"/>
      <c r="G941" s="14"/>
      <c r="H941" s="14"/>
    </row>
    <row r="942" spans="1:8" x14ac:dyDescent="0.3">
      <c r="A942" s="13"/>
      <c r="B942" s="16">
        <f>IF($A942=InvestorTable[[#This Row],[Investor Tally '#]],InvestorTable[[#This Row],[Investor Name]], NA())</f>
        <v>0</v>
      </c>
      <c r="C942" s="14"/>
      <c r="D942" s="17" t="e" cm="1">
        <f t="array" ref="D942">_xlfn.IFS(AND(InvestorTable[[#This Row],[Investor Tally '#]] = 'Payment Tracker'!$A942, 'Payment Tracker'!$C942="Dividend") = TRUE, InvestorTable[[#This Row],[Monthly ROI (₦)]], AND(InvestorTable[[#This Row],[Investor Tally '#]] = 'Payment Tracker'!$A942, 'Payment Tracker'!$C942="Capital") = TRUE, InvestorTable[[#This Row],[Investment Capital (₦)]], AND(InvestorTable[[#This Row],[Investor Tally '#]] = 'Payment Tracker'!$A942, 'Payment Tracker'!$C942="Refund") = TRUE, InvestorTable[[#This Row],[Investment Capital (₦)]] )</f>
        <v>#N/A</v>
      </c>
      <c r="E942" s="15"/>
      <c r="F942" s="14"/>
      <c r="G942" s="14"/>
      <c r="H942" s="14"/>
    </row>
    <row r="943" spans="1:8" x14ac:dyDescent="0.3">
      <c r="A943" s="13"/>
      <c r="B943" s="16">
        <f>IF($A943=InvestorTable[[#This Row],[Investor Tally '#]],InvestorTable[[#This Row],[Investor Name]], NA())</f>
        <v>0</v>
      </c>
      <c r="C943" s="14"/>
      <c r="D943" s="17" t="e" cm="1">
        <f t="array" ref="D943">_xlfn.IFS(AND(InvestorTable[[#This Row],[Investor Tally '#]] = 'Payment Tracker'!$A943, 'Payment Tracker'!$C943="Dividend") = TRUE, InvestorTable[[#This Row],[Monthly ROI (₦)]], AND(InvestorTable[[#This Row],[Investor Tally '#]] = 'Payment Tracker'!$A943, 'Payment Tracker'!$C943="Capital") = TRUE, InvestorTable[[#This Row],[Investment Capital (₦)]], AND(InvestorTable[[#This Row],[Investor Tally '#]] = 'Payment Tracker'!$A943, 'Payment Tracker'!$C943="Refund") = TRUE, InvestorTable[[#This Row],[Investment Capital (₦)]] )</f>
        <v>#N/A</v>
      </c>
      <c r="E943" s="15"/>
      <c r="F943" s="14"/>
      <c r="G943" s="14"/>
      <c r="H943" s="14"/>
    </row>
    <row r="944" spans="1:8" x14ac:dyDescent="0.3">
      <c r="A944" s="13"/>
      <c r="B944" s="16">
        <f>IF($A944=InvestorTable[[#This Row],[Investor Tally '#]],InvestorTable[[#This Row],[Investor Name]], NA())</f>
        <v>0</v>
      </c>
      <c r="C944" s="14"/>
      <c r="D944" s="17" t="e" cm="1">
        <f t="array" ref="D944">_xlfn.IFS(AND(InvestorTable[[#This Row],[Investor Tally '#]] = 'Payment Tracker'!$A944, 'Payment Tracker'!$C944="Dividend") = TRUE, InvestorTable[[#This Row],[Monthly ROI (₦)]], AND(InvestorTable[[#This Row],[Investor Tally '#]] = 'Payment Tracker'!$A944, 'Payment Tracker'!$C944="Capital") = TRUE, InvestorTable[[#This Row],[Investment Capital (₦)]], AND(InvestorTable[[#This Row],[Investor Tally '#]] = 'Payment Tracker'!$A944, 'Payment Tracker'!$C944="Refund") = TRUE, InvestorTable[[#This Row],[Investment Capital (₦)]] )</f>
        <v>#N/A</v>
      </c>
      <c r="E944" s="15"/>
      <c r="F944" s="14"/>
      <c r="G944" s="14"/>
      <c r="H944" s="14"/>
    </row>
    <row r="945" spans="1:8" x14ac:dyDescent="0.3">
      <c r="A945" s="13"/>
      <c r="B945" s="16">
        <f>IF($A945=InvestorTable[[#This Row],[Investor Tally '#]],InvestorTable[[#This Row],[Investor Name]], NA())</f>
        <v>0</v>
      </c>
      <c r="C945" s="14"/>
      <c r="D945" s="17" t="e" cm="1">
        <f t="array" ref="D945">_xlfn.IFS(AND(InvestorTable[[#This Row],[Investor Tally '#]] = 'Payment Tracker'!$A945, 'Payment Tracker'!$C945="Dividend") = TRUE, InvestorTable[[#This Row],[Monthly ROI (₦)]], AND(InvestorTable[[#This Row],[Investor Tally '#]] = 'Payment Tracker'!$A945, 'Payment Tracker'!$C945="Capital") = TRUE, InvestorTable[[#This Row],[Investment Capital (₦)]], AND(InvestorTable[[#This Row],[Investor Tally '#]] = 'Payment Tracker'!$A945, 'Payment Tracker'!$C945="Refund") = TRUE, InvestorTable[[#This Row],[Investment Capital (₦)]] )</f>
        <v>#N/A</v>
      </c>
      <c r="E945" s="15"/>
      <c r="F945" s="14"/>
      <c r="G945" s="14"/>
      <c r="H945" s="14"/>
    </row>
    <row r="946" spans="1:8" x14ac:dyDescent="0.3">
      <c r="A946" s="13"/>
      <c r="B946" s="16">
        <f>IF($A946=InvestorTable[[#This Row],[Investor Tally '#]],InvestorTable[[#This Row],[Investor Name]], NA())</f>
        <v>0</v>
      </c>
      <c r="C946" s="14"/>
      <c r="D946" s="17" t="e" cm="1">
        <f t="array" ref="D946">_xlfn.IFS(AND(InvestorTable[[#This Row],[Investor Tally '#]] = 'Payment Tracker'!$A946, 'Payment Tracker'!$C946="Dividend") = TRUE, InvestorTable[[#This Row],[Monthly ROI (₦)]], AND(InvestorTable[[#This Row],[Investor Tally '#]] = 'Payment Tracker'!$A946, 'Payment Tracker'!$C946="Capital") = TRUE, InvestorTable[[#This Row],[Investment Capital (₦)]], AND(InvestorTable[[#This Row],[Investor Tally '#]] = 'Payment Tracker'!$A946, 'Payment Tracker'!$C946="Refund") = TRUE, InvestorTable[[#This Row],[Investment Capital (₦)]] )</f>
        <v>#N/A</v>
      </c>
      <c r="E946" s="15"/>
      <c r="F946" s="14"/>
      <c r="G946" s="14"/>
      <c r="H946" s="14"/>
    </row>
    <row r="947" spans="1:8" x14ac:dyDescent="0.3">
      <c r="A947" s="13"/>
      <c r="B947" s="16">
        <f>IF($A947=InvestorTable[[#This Row],[Investor Tally '#]],InvestorTable[[#This Row],[Investor Name]], NA())</f>
        <v>0</v>
      </c>
      <c r="C947" s="14"/>
      <c r="D947" s="17" t="e" cm="1">
        <f t="array" ref="D947">_xlfn.IFS(AND(InvestorTable[[#This Row],[Investor Tally '#]] = 'Payment Tracker'!$A947, 'Payment Tracker'!$C947="Dividend") = TRUE, InvestorTable[[#This Row],[Monthly ROI (₦)]], AND(InvestorTable[[#This Row],[Investor Tally '#]] = 'Payment Tracker'!$A947, 'Payment Tracker'!$C947="Capital") = TRUE, InvestorTable[[#This Row],[Investment Capital (₦)]], AND(InvestorTable[[#This Row],[Investor Tally '#]] = 'Payment Tracker'!$A947, 'Payment Tracker'!$C947="Refund") = TRUE, InvestorTable[[#This Row],[Investment Capital (₦)]] )</f>
        <v>#N/A</v>
      </c>
      <c r="E947" s="15"/>
      <c r="F947" s="14"/>
      <c r="G947" s="14"/>
      <c r="H947" s="14"/>
    </row>
    <row r="948" spans="1:8" x14ac:dyDescent="0.3">
      <c r="A948" s="13"/>
      <c r="B948" s="16">
        <f>IF($A948=InvestorTable[[#This Row],[Investor Tally '#]],InvestorTable[[#This Row],[Investor Name]], NA())</f>
        <v>0</v>
      </c>
      <c r="C948" s="14"/>
      <c r="D948" s="17" t="e" cm="1">
        <f t="array" ref="D948">_xlfn.IFS(AND(InvestorTable[[#This Row],[Investor Tally '#]] = 'Payment Tracker'!$A948, 'Payment Tracker'!$C948="Dividend") = TRUE, InvestorTable[[#This Row],[Monthly ROI (₦)]], AND(InvestorTable[[#This Row],[Investor Tally '#]] = 'Payment Tracker'!$A948, 'Payment Tracker'!$C948="Capital") = TRUE, InvestorTable[[#This Row],[Investment Capital (₦)]], AND(InvestorTable[[#This Row],[Investor Tally '#]] = 'Payment Tracker'!$A948, 'Payment Tracker'!$C948="Refund") = TRUE, InvestorTable[[#This Row],[Investment Capital (₦)]] )</f>
        <v>#N/A</v>
      </c>
      <c r="E948" s="15"/>
      <c r="F948" s="14"/>
      <c r="G948" s="14"/>
      <c r="H948" s="14"/>
    </row>
    <row r="949" spans="1:8" x14ac:dyDescent="0.3">
      <c r="A949" s="13"/>
      <c r="B949" s="16">
        <f>IF($A949=InvestorTable[[#This Row],[Investor Tally '#]],InvestorTable[[#This Row],[Investor Name]], NA())</f>
        <v>0</v>
      </c>
      <c r="C949" s="14"/>
      <c r="D949" s="17" t="e" cm="1">
        <f t="array" ref="D949">_xlfn.IFS(AND(InvestorTable[[#This Row],[Investor Tally '#]] = 'Payment Tracker'!$A949, 'Payment Tracker'!$C949="Dividend") = TRUE, InvestorTable[[#This Row],[Monthly ROI (₦)]], AND(InvestorTable[[#This Row],[Investor Tally '#]] = 'Payment Tracker'!$A949, 'Payment Tracker'!$C949="Capital") = TRUE, InvestorTable[[#This Row],[Investment Capital (₦)]], AND(InvestorTable[[#This Row],[Investor Tally '#]] = 'Payment Tracker'!$A949, 'Payment Tracker'!$C949="Refund") = TRUE, InvestorTable[[#This Row],[Investment Capital (₦)]] )</f>
        <v>#N/A</v>
      </c>
      <c r="E949" s="15"/>
      <c r="F949" s="14"/>
      <c r="G949" s="14"/>
      <c r="H949" s="14"/>
    </row>
    <row r="950" spans="1:8" x14ac:dyDescent="0.3">
      <c r="A950" s="13"/>
      <c r="B950" s="16">
        <f>IF($A950=InvestorTable[[#This Row],[Investor Tally '#]],InvestorTable[[#This Row],[Investor Name]], NA())</f>
        <v>0</v>
      </c>
      <c r="C950" s="14"/>
      <c r="D950" s="17" t="e" cm="1">
        <f t="array" ref="D950">_xlfn.IFS(AND(InvestorTable[[#This Row],[Investor Tally '#]] = 'Payment Tracker'!$A950, 'Payment Tracker'!$C950="Dividend") = TRUE, InvestorTable[[#This Row],[Monthly ROI (₦)]], AND(InvestorTable[[#This Row],[Investor Tally '#]] = 'Payment Tracker'!$A950, 'Payment Tracker'!$C950="Capital") = TRUE, InvestorTable[[#This Row],[Investment Capital (₦)]], AND(InvestorTable[[#This Row],[Investor Tally '#]] = 'Payment Tracker'!$A950, 'Payment Tracker'!$C950="Refund") = TRUE, InvestorTable[[#This Row],[Investment Capital (₦)]] )</f>
        <v>#N/A</v>
      </c>
      <c r="E950" s="15"/>
      <c r="F950" s="14"/>
      <c r="G950" s="14"/>
      <c r="H950" s="14"/>
    </row>
    <row r="951" spans="1:8" x14ac:dyDescent="0.3">
      <c r="A951" s="13"/>
      <c r="B951" s="16">
        <f>IF($A951=InvestorTable[[#This Row],[Investor Tally '#]],InvestorTable[[#This Row],[Investor Name]], NA())</f>
        <v>0</v>
      </c>
      <c r="C951" s="14"/>
      <c r="D951" s="17" t="e" cm="1">
        <f t="array" ref="D951">_xlfn.IFS(AND(InvestorTable[[#This Row],[Investor Tally '#]] = 'Payment Tracker'!$A951, 'Payment Tracker'!$C951="Dividend") = TRUE, InvestorTable[[#This Row],[Monthly ROI (₦)]], AND(InvestorTable[[#This Row],[Investor Tally '#]] = 'Payment Tracker'!$A951, 'Payment Tracker'!$C951="Capital") = TRUE, InvestorTable[[#This Row],[Investment Capital (₦)]], AND(InvestorTable[[#This Row],[Investor Tally '#]] = 'Payment Tracker'!$A951, 'Payment Tracker'!$C951="Refund") = TRUE, InvestorTable[[#This Row],[Investment Capital (₦)]] )</f>
        <v>#N/A</v>
      </c>
      <c r="E951" s="15"/>
      <c r="F951" s="14"/>
      <c r="G951" s="14"/>
      <c r="H951" s="14"/>
    </row>
    <row r="952" spans="1:8" x14ac:dyDescent="0.3">
      <c r="A952" s="13"/>
      <c r="B952" s="16">
        <f>IF($A952=InvestorTable[[#This Row],[Investor Tally '#]],InvestorTable[[#This Row],[Investor Name]], NA())</f>
        <v>0</v>
      </c>
      <c r="C952" s="14"/>
      <c r="D952" s="17" t="e" cm="1">
        <f t="array" ref="D952">_xlfn.IFS(AND(InvestorTable[[#This Row],[Investor Tally '#]] = 'Payment Tracker'!$A952, 'Payment Tracker'!$C952="Dividend") = TRUE, InvestorTable[[#This Row],[Monthly ROI (₦)]], AND(InvestorTable[[#This Row],[Investor Tally '#]] = 'Payment Tracker'!$A952, 'Payment Tracker'!$C952="Capital") = TRUE, InvestorTable[[#This Row],[Investment Capital (₦)]], AND(InvestorTable[[#This Row],[Investor Tally '#]] = 'Payment Tracker'!$A952, 'Payment Tracker'!$C952="Refund") = TRUE, InvestorTable[[#This Row],[Investment Capital (₦)]] )</f>
        <v>#N/A</v>
      </c>
      <c r="E952" s="15"/>
      <c r="F952" s="14"/>
      <c r="G952" s="14"/>
      <c r="H952" s="14"/>
    </row>
    <row r="953" spans="1:8" x14ac:dyDescent="0.3">
      <c r="A953" s="13"/>
      <c r="B953" s="16">
        <f>IF($A953=InvestorTable[[#This Row],[Investor Tally '#]],InvestorTable[[#This Row],[Investor Name]], NA())</f>
        <v>0</v>
      </c>
      <c r="C953" s="14"/>
      <c r="D953" s="17" t="e" cm="1">
        <f t="array" ref="D953">_xlfn.IFS(AND(InvestorTable[[#This Row],[Investor Tally '#]] = 'Payment Tracker'!$A953, 'Payment Tracker'!$C953="Dividend") = TRUE, InvestorTable[[#This Row],[Monthly ROI (₦)]], AND(InvestorTable[[#This Row],[Investor Tally '#]] = 'Payment Tracker'!$A953, 'Payment Tracker'!$C953="Capital") = TRUE, InvestorTable[[#This Row],[Investment Capital (₦)]], AND(InvestorTable[[#This Row],[Investor Tally '#]] = 'Payment Tracker'!$A953, 'Payment Tracker'!$C953="Refund") = TRUE, InvestorTable[[#This Row],[Investment Capital (₦)]] )</f>
        <v>#N/A</v>
      </c>
      <c r="E953" s="15"/>
      <c r="F953" s="14"/>
      <c r="G953" s="14"/>
      <c r="H953" s="14"/>
    </row>
    <row r="954" spans="1:8" x14ac:dyDescent="0.3">
      <c r="A954" s="13"/>
      <c r="B954" s="16">
        <f>IF($A954=InvestorTable[[#This Row],[Investor Tally '#]],InvestorTable[[#This Row],[Investor Name]], NA())</f>
        <v>0</v>
      </c>
      <c r="C954" s="14"/>
      <c r="D954" s="17" t="e" cm="1">
        <f t="array" ref="D954">_xlfn.IFS(AND(InvestorTable[[#This Row],[Investor Tally '#]] = 'Payment Tracker'!$A954, 'Payment Tracker'!$C954="Dividend") = TRUE, InvestorTable[[#This Row],[Monthly ROI (₦)]], AND(InvestorTable[[#This Row],[Investor Tally '#]] = 'Payment Tracker'!$A954, 'Payment Tracker'!$C954="Capital") = TRUE, InvestorTable[[#This Row],[Investment Capital (₦)]], AND(InvestorTable[[#This Row],[Investor Tally '#]] = 'Payment Tracker'!$A954, 'Payment Tracker'!$C954="Refund") = TRUE, InvestorTable[[#This Row],[Investment Capital (₦)]] )</f>
        <v>#N/A</v>
      </c>
      <c r="E954" s="15"/>
      <c r="F954" s="14"/>
      <c r="G954" s="14"/>
      <c r="H954" s="14"/>
    </row>
    <row r="955" spans="1:8" x14ac:dyDescent="0.3">
      <c r="A955" s="13"/>
      <c r="B955" s="16">
        <f>IF($A955=InvestorTable[[#This Row],[Investor Tally '#]],InvestorTable[[#This Row],[Investor Name]], NA())</f>
        <v>0</v>
      </c>
      <c r="C955" s="14"/>
      <c r="D955" s="17" t="e" cm="1">
        <f t="array" ref="D955">_xlfn.IFS(AND(InvestorTable[[#This Row],[Investor Tally '#]] = 'Payment Tracker'!$A955, 'Payment Tracker'!$C955="Dividend") = TRUE, InvestorTable[[#This Row],[Monthly ROI (₦)]], AND(InvestorTable[[#This Row],[Investor Tally '#]] = 'Payment Tracker'!$A955, 'Payment Tracker'!$C955="Capital") = TRUE, InvestorTable[[#This Row],[Investment Capital (₦)]], AND(InvestorTable[[#This Row],[Investor Tally '#]] = 'Payment Tracker'!$A955, 'Payment Tracker'!$C955="Refund") = TRUE, InvestorTable[[#This Row],[Investment Capital (₦)]] )</f>
        <v>#N/A</v>
      </c>
      <c r="E955" s="15"/>
      <c r="F955" s="14"/>
      <c r="G955" s="14"/>
      <c r="H955" s="14"/>
    </row>
    <row r="956" spans="1:8" x14ac:dyDescent="0.3">
      <c r="A956" s="13"/>
      <c r="B956" s="16">
        <f>IF($A956=InvestorTable[[#This Row],[Investor Tally '#]],InvestorTable[[#This Row],[Investor Name]], NA())</f>
        <v>0</v>
      </c>
      <c r="C956" s="14"/>
      <c r="D956" s="17" t="e" cm="1">
        <f t="array" ref="D956">_xlfn.IFS(AND(InvestorTable[[#This Row],[Investor Tally '#]] = 'Payment Tracker'!$A956, 'Payment Tracker'!$C956="Dividend") = TRUE, InvestorTable[[#This Row],[Monthly ROI (₦)]], AND(InvestorTable[[#This Row],[Investor Tally '#]] = 'Payment Tracker'!$A956, 'Payment Tracker'!$C956="Capital") = TRUE, InvestorTable[[#This Row],[Investment Capital (₦)]], AND(InvestorTable[[#This Row],[Investor Tally '#]] = 'Payment Tracker'!$A956, 'Payment Tracker'!$C956="Refund") = TRUE, InvestorTable[[#This Row],[Investment Capital (₦)]] )</f>
        <v>#N/A</v>
      </c>
      <c r="E956" s="15"/>
      <c r="F956" s="14"/>
      <c r="G956" s="14"/>
      <c r="H956" s="14"/>
    </row>
    <row r="957" spans="1:8" x14ac:dyDescent="0.3">
      <c r="A957" s="13"/>
      <c r="B957" s="16">
        <f>IF($A957=InvestorTable[[#This Row],[Investor Tally '#]],InvestorTable[[#This Row],[Investor Name]], NA())</f>
        <v>0</v>
      </c>
      <c r="C957" s="14"/>
      <c r="D957" s="17" t="e" cm="1">
        <f t="array" ref="D957">_xlfn.IFS(AND(InvestorTable[[#This Row],[Investor Tally '#]] = 'Payment Tracker'!$A957, 'Payment Tracker'!$C957="Dividend") = TRUE, InvestorTable[[#This Row],[Monthly ROI (₦)]], AND(InvestorTable[[#This Row],[Investor Tally '#]] = 'Payment Tracker'!$A957, 'Payment Tracker'!$C957="Capital") = TRUE, InvestorTable[[#This Row],[Investment Capital (₦)]], AND(InvestorTable[[#This Row],[Investor Tally '#]] = 'Payment Tracker'!$A957, 'Payment Tracker'!$C957="Refund") = TRUE, InvestorTable[[#This Row],[Investment Capital (₦)]] )</f>
        <v>#N/A</v>
      </c>
      <c r="E957" s="15"/>
      <c r="F957" s="14"/>
      <c r="G957" s="14"/>
      <c r="H957" s="14"/>
    </row>
    <row r="958" spans="1:8" x14ac:dyDescent="0.3">
      <c r="A958" s="13"/>
      <c r="B958" s="16">
        <f>IF($A958=InvestorTable[[#This Row],[Investor Tally '#]],InvestorTable[[#This Row],[Investor Name]], NA())</f>
        <v>0</v>
      </c>
      <c r="C958" s="14"/>
      <c r="D958" s="17" t="e" cm="1">
        <f t="array" ref="D958">_xlfn.IFS(AND(InvestorTable[[#This Row],[Investor Tally '#]] = 'Payment Tracker'!$A958, 'Payment Tracker'!$C958="Dividend") = TRUE, InvestorTable[[#This Row],[Monthly ROI (₦)]], AND(InvestorTable[[#This Row],[Investor Tally '#]] = 'Payment Tracker'!$A958, 'Payment Tracker'!$C958="Capital") = TRUE, InvestorTable[[#This Row],[Investment Capital (₦)]], AND(InvestorTable[[#This Row],[Investor Tally '#]] = 'Payment Tracker'!$A958, 'Payment Tracker'!$C958="Refund") = TRUE, InvestorTable[[#This Row],[Investment Capital (₦)]] )</f>
        <v>#N/A</v>
      </c>
      <c r="E958" s="15"/>
      <c r="F958" s="14"/>
      <c r="G958" s="14"/>
      <c r="H958" s="14"/>
    </row>
    <row r="959" spans="1:8" x14ac:dyDescent="0.3">
      <c r="A959" s="13"/>
      <c r="B959" s="16">
        <f>IF($A959=InvestorTable[[#This Row],[Investor Tally '#]],InvestorTable[[#This Row],[Investor Name]], NA())</f>
        <v>0</v>
      </c>
      <c r="C959" s="14"/>
      <c r="D959" s="17" t="e" cm="1">
        <f t="array" ref="D959">_xlfn.IFS(AND(InvestorTable[[#This Row],[Investor Tally '#]] = 'Payment Tracker'!$A959, 'Payment Tracker'!$C959="Dividend") = TRUE, InvestorTable[[#This Row],[Monthly ROI (₦)]], AND(InvestorTable[[#This Row],[Investor Tally '#]] = 'Payment Tracker'!$A959, 'Payment Tracker'!$C959="Capital") = TRUE, InvestorTable[[#This Row],[Investment Capital (₦)]], AND(InvestorTable[[#This Row],[Investor Tally '#]] = 'Payment Tracker'!$A959, 'Payment Tracker'!$C959="Refund") = TRUE, InvestorTable[[#This Row],[Investment Capital (₦)]] )</f>
        <v>#N/A</v>
      </c>
      <c r="E959" s="15"/>
      <c r="F959" s="14"/>
      <c r="G959" s="14"/>
      <c r="H959" s="14"/>
    </row>
    <row r="960" spans="1:8" x14ac:dyDescent="0.3">
      <c r="A960" s="13"/>
      <c r="B960" s="16">
        <f>IF($A960=InvestorTable[[#This Row],[Investor Tally '#]],InvestorTable[[#This Row],[Investor Name]], NA())</f>
        <v>0</v>
      </c>
      <c r="C960" s="14"/>
      <c r="D960" s="17" t="e" cm="1">
        <f t="array" ref="D960">_xlfn.IFS(AND(InvestorTable[[#This Row],[Investor Tally '#]] = 'Payment Tracker'!$A960, 'Payment Tracker'!$C960="Dividend") = TRUE, InvestorTable[[#This Row],[Monthly ROI (₦)]], AND(InvestorTable[[#This Row],[Investor Tally '#]] = 'Payment Tracker'!$A960, 'Payment Tracker'!$C960="Capital") = TRUE, InvestorTable[[#This Row],[Investment Capital (₦)]], AND(InvestorTable[[#This Row],[Investor Tally '#]] = 'Payment Tracker'!$A960, 'Payment Tracker'!$C960="Refund") = TRUE, InvestorTable[[#This Row],[Investment Capital (₦)]] )</f>
        <v>#N/A</v>
      </c>
      <c r="E960" s="15"/>
      <c r="F960" s="14"/>
      <c r="G960" s="14"/>
      <c r="H960" s="14"/>
    </row>
    <row r="961" spans="1:8" x14ac:dyDescent="0.3">
      <c r="A961" s="13"/>
      <c r="B961" s="16">
        <f>IF($A961=InvestorTable[[#This Row],[Investor Tally '#]],InvestorTable[[#This Row],[Investor Name]], NA())</f>
        <v>0</v>
      </c>
      <c r="C961" s="14"/>
      <c r="D961" s="17" t="e" cm="1">
        <f t="array" ref="D961">_xlfn.IFS(AND(InvestorTable[[#This Row],[Investor Tally '#]] = 'Payment Tracker'!$A961, 'Payment Tracker'!$C961="Dividend") = TRUE, InvestorTable[[#This Row],[Monthly ROI (₦)]], AND(InvestorTable[[#This Row],[Investor Tally '#]] = 'Payment Tracker'!$A961, 'Payment Tracker'!$C961="Capital") = TRUE, InvestorTable[[#This Row],[Investment Capital (₦)]], AND(InvestorTable[[#This Row],[Investor Tally '#]] = 'Payment Tracker'!$A961, 'Payment Tracker'!$C961="Refund") = TRUE, InvestorTable[[#This Row],[Investment Capital (₦)]] )</f>
        <v>#N/A</v>
      </c>
      <c r="E961" s="15"/>
      <c r="F961" s="14"/>
      <c r="G961" s="14"/>
      <c r="H961" s="14"/>
    </row>
    <row r="962" spans="1:8" x14ac:dyDescent="0.3">
      <c r="A962" s="13"/>
      <c r="B962" s="16">
        <f>IF($A962=InvestorTable[[#This Row],[Investor Tally '#]],InvestorTable[[#This Row],[Investor Name]], NA())</f>
        <v>0</v>
      </c>
      <c r="C962" s="14"/>
      <c r="D962" s="17" t="e" cm="1">
        <f t="array" ref="D962">_xlfn.IFS(AND(InvestorTable[[#This Row],[Investor Tally '#]] = 'Payment Tracker'!$A962, 'Payment Tracker'!$C962="Dividend") = TRUE, InvestorTable[[#This Row],[Monthly ROI (₦)]], AND(InvestorTable[[#This Row],[Investor Tally '#]] = 'Payment Tracker'!$A962, 'Payment Tracker'!$C962="Capital") = TRUE, InvestorTable[[#This Row],[Investment Capital (₦)]], AND(InvestorTable[[#This Row],[Investor Tally '#]] = 'Payment Tracker'!$A962, 'Payment Tracker'!$C962="Refund") = TRUE, InvestorTable[[#This Row],[Investment Capital (₦)]] )</f>
        <v>#N/A</v>
      </c>
      <c r="E962" s="15"/>
      <c r="F962" s="14"/>
      <c r="G962" s="14"/>
      <c r="H962" s="14"/>
    </row>
    <row r="963" spans="1:8" x14ac:dyDescent="0.3">
      <c r="A963" s="13"/>
      <c r="B963" s="16">
        <f>IF($A963=InvestorTable[[#This Row],[Investor Tally '#]],InvestorTable[[#This Row],[Investor Name]], NA())</f>
        <v>0</v>
      </c>
      <c r="C963" s="14"/>
      <c r="D963" s="17" t="e" cm="1">
        <f t="array" ref="D963">_xlfn.IFS(AND(InvestorTable[[#This Row],[Investor Tally '#]] = 'Payment Tracker'!$A963, 'Payment Tracker'!$C963="Dividend") = TRUE, InvestorTable[[#This Row],[Monthly ROI (₦)]], AND(InvestorTable[[#This Row],[Investor Tally '#]] = 'Payment Tracker'!$A963, 'Payment Tracker'!$C963="Capital") = TRUE, InvestorTable[[#This Row],[Investment Capital (₦)]], AND(InvestorTable[[#This Row],[Investor Tally '#]] = 'Payment Tracker'!$A963, 'Payment Tracker'!$C963="Refund") = TRUE, InvestorTable[[#This Row],[Investment Capital (₦)]] )</f>
        <v>#N/A</v>
      </c>
      <c r="E963" s="15"/>
      <c r="F963" s="14"/>
      <c r="G963" s="14"/>
      <c r="H963" s="14"/>
    </row>
    <row r="964" spans="1:8" x14ac:dyDescent="0.3">
      <c r="A964" s="13"/>
      <c r="B964" s="16">
        <f>IF($A964=InvestorTable[[#This Row],[Investor Tally '#]],InvestorTable[[#This Row],[Investor Name]], NA())</f>
        <v>0</v>
      </c>
      <c r="C964" s="14"/>
      <c r="D964" s="17" t="e" cm="1">
        <f t="array" ref="D964">_xlfn.IFS(AND(InvestorTable[[#This Row],[Investor Tally '#]] = 'Payment Tracker'!$A964, 'Payment Tracker'!$C964="Dividend") = TRUE, InvestorTable[[#This Row],[Monthly ROI (₦)]], AND(InvestorTable[[#This Row],[Investor Tally '#]] = 'Payment Tracker'!$A964, 'Payment Tracker'!$C964="Capital") = TRUE, InvestorTable[[#This Row],[Investment Capital (₦)]], AND(InvestorTable[[#This Row],[Investor Tally '#]] = 'Payment Tracker'!$A964, 'Payment Tracker'!$C964="Refund") = TRUE, InvestorTable[[#This Row],[Investment Capital (₦)]] )</f>
        <v>#N/A</v>
      </c>
      <c r="E964" s="15"/>
      <c r="F964" s="14"/>
      <c r="G964" s="14"/>
      <c r="H964" s="14"/>
    </row>
    <row r="965" spans="1:8" x14ac:dyDescent="0.3">
      <c r="A965" s="13"/>
      <c r="B965" s="16">
        <f>IF($A965=InvestorTable[[#This Row],[Investor Tally '#]],InvestorTable[[#This Row],[Investor Name]], NA())</f>
        <v>0</v>
      </c>
      <c r="C965" s="14"/>
      <c r="D965" s="17" t="e" cm="1">
        <f t="array" ref="D965">_xlfn.IFS(AND(InvestorTable[[#This Row],[Investor Tally '#]] = 'Payment Tracker'!$A965, 'Payment Tracker'!$C965="Dividend") = TRUE, InvestorTable[[#This Row],[Monthly ROI (₦)]], AND(InvestorTable[[#This Row],[Investor Tally '#]] = 'Payment Tracker'!$A965, 'Payment Tracker'!$C965="Capital") = TRUE, InvestorTable[[#This Row],[Investment Capital (₦)]], AND(InvestorTable[[#This Row],[Investor Tally '#]] = 'Payment Tracker'!$A965, 'Payment Tracker'!$C965="Refund") = TRUE, InvestorTable[[#This Row],[Investment Capital (₦)]] )</f>
        <v>#N/A</v>
      </c>
      <c r="E965" s="15"/>
      <c r="F965" s="14"/>
      <c r="G965" s="14"/>
      <c r="H965" s="14"/>
    </row>
    <row r="966" spans="1:8" x14ac:dyDescent="0.3">
      <c r="A966" s="13"/>
      <c r="B966" s="16">
        <f>IF($A966=InvestorTable[[#This Row],[Investor Tally '#]],InvestorTable[[#This Row],[Investor Name]], NA())</f>
        <v>0</v>
      </c>
      <c r="C966" s="14"/>
      <c r="D966" s="17" t="e" cm="1">
        <f t="array" ref="D966">_xlfn.IFS(AND(InvestorTable[[#This Row],[Investor Tally '#]] = 'Payment Tracker'!$A966, 'Payment Tracker'!$C966="Dividend") = TRUE, InvestorTable[[#This Row],[Monthly ROI (₦)]], AND(InvestorTable[[#This Row],[Investor Tally '#]] = 'Payment Tracker'!$A966, 'Payment Tracker'!$C966="Capital") = TRUE, InvestorTable[[#This Row],[Investment Capital (₦)]], AND(InvestorTable[[#This Row],[Investor Tally '#]] = 'Payment Tracker'!$A966, 'Payment Tracker'!$C966="Refund") = TRUE, InvestorTable[[#This Row],[Investment Capital (₦)]] )</f>
        <v>#N/A</v>
      </c>
      <c r="E966" s="15"/>
      <c r="F966" s="14"/>
      <c r="G966" s="14"/>
      <c r="H966" s="14"/>
    </row>
    <row r="967" spans="1:8" x14ac:dyDescent="0.3">
      <c r="A967" s="13"/>
      <c r="B967" s="16">
        <f>IF($A967=InvestorTable[[#This Row],[Investor Tally '#]],InvestorTable[[#This Row],[Investor Name]], NA())</f>
        <v>0</v>
      </c>
      <c r="C967" s="14"/>
      <c r="D967" s="17" t="e" cm="1">
        <f t="array" ref="D967">_xlfn.IFS(AND(InvestorTable[[#This Row],[Investor Tally '#]] = 'Payment Tracker'!$A967, 'Payment Tracker'!$C967="Dividend") = TRUE, InvestorTable[[#This Row],[Monthly ROI (₦)]], AND(InvestorTable[[#This Row],[Investor Tally '#]] = 'Payment Tracker'!$A967, 'Payment Tracker'!$C967="Capital") = TRUE, InvestorTable[[#This Row],[Investment Capital (₦)]], AND(InvestorTable[[#This Row],[Investor Tally '#]] = 'Payment Tracker'!$A967, 'Payment Tracker'!$C967="Refund") = TRUE, InvestorTable[[#This Row],[Investment Capital (₦)]] )</f>
        <v>#N/A</v>
      </c>
      <c r="E967" s="15"/>
      <c r="F967" s="14"/>
      <c r="G967" s="14"/>
      <c r="H967" s="14"/>
    </row>
    <row r="968" spans="1:8" x14ac:dyDescent="0.3">
      <c r="A968" s="13"/>
      <c r="B968" s="16">
        <f>IF($A968=InvestorTable[[#This Row],[Investor Tally '#]],InvestorTable[[#This Row],[Investor Name]], NA())</f>
        <v>0</v>
      </c>
      <c r="C968" s="14"/>
      <c r="D968" s="17" t="e" cm="1">
        <f t="array" ref="D968">_xlfn.IFS(AND(InvestorTable[[#This Row],[Investor Tally '#]] = 'Payment Tracker'!$A968, 'Payment Tracker'!$C968="Dividend") = TRUE, InvestorTable[[#This Row],[Monthly ROI (₦)]], AND(InvestorTable[[#This Row],[Investor Tally '#]] = 'Payment Tracker'!$A968, 'Payment Tracker'!$C968="Capital") = TRUE, InvestorTable[[#This Row],[Investment Capital (₦)]], AND(InvestorTable[[#This Row],[Investor Tally '#]] = 'Payment Tracker'!$A968, 'Payment Tracker'!$C968="Refund") = TRUE, InvestorTable[[#This Row],[Investment Capital (₦)]] )</f>
        <v>#N/A</v>
      </c>
      <c r="E968" s="15"/>
      <c r="F968" s="14"/>
      <c r="G968" s="14"/>
      <c r="H968" s="14"/>
    </row>
    <row r="969" spans="1:8" x14ac:dyDescent="0.3">
      <c r="A969" s="13"/>
      <c r="B969" s="16">
        <f>IF($A969=InvestorTable[[#This Row],[Investor Tally '#]],InvestorTable[[#This Row],[Investor Name]], NA())</f>
        <v>0</v>
      </c>
      <c r="C969" s="14"/>
      <c r="D969" s="17" t="e" cm="1">
        <f t="array" ref="D969">_xlfn.IFS(AND(InvestorTable[[#This Row],[Investor Tally '#]] = 'Payment Tracker'!$A969, 'Payment Tracker'!$C969="Dividend") = TRUE, InvestorTable[[#This Row],[Monthly ROI (₦)]], AND(InvestorTable[[#This Row],[Investor Tally '#]] = 'Payment Tracker'!$A969, 'Payment Tracker'!$C969="Capital") = TRUE, InvestorTable[[#This Row],[Investment Capital (₦)]], AND(InvestorTable[[#This Row],[Investor Tally '#]] = 'Payment Tracker'!$A969, 'Payment Tracker'!$C969="Refund") = TRUE, InvestorTable[[#This Row],[Investment Capital (₦)]] )</f>
        <v>#N/A</v>
      </c>
      <c r="E969" s="15"/>
      <c r="F969" s="14"/>
      <c r="G969" s="14"/>
      <c r="H969" s="14"/>
    </row>
    <row r="970" spans="1:8" x14ac:dyDescent="0.3">
      <c r="A970" s="13"/>
      <c r="B970" s="16">
        <f>IF($A970=InvestorTable[[#This Row],[Investor Tally '#]],InvestorTable[[#This Row],[Investor Name]], NA())</f>
        <v>0</v>
      </c>
      <c r="C970" s="14"/>
      <c r="D970" s="17" t="e" cm="1">
        <f t="array" ref="D970">_xlfn.IFS(AND(InvestorTable[[#This Row],[Investor Tally '#]] = 'Payment Tracker'!$A970, 'Payment Tracker'!$C970="Dividend") = TRUE, InvestorTable[[#This Row],[Monthly ROI (₦)]], AND(InvestorTable[[#This Row],[Investor Tally '#]] = 'Payment Tracker'!$A970, 'Payment Tracker'!$C970="Capital") = TRUE, InvestorTable[[#This Row],[Investment Capital (₦)]], AND(InvestorTable[[#This Row],[Investor Tally '#]] = 'Payment Tracker'!$A970, 'Payment Tracker'!$C970="Refund") = TRUE, InvestorTable[[#This Row],[Investment Capital (₦)]] )</f>
        <v>#N/A</v>
      </c>
      <c r="E970" s="15"/>
      <c r="F970" s="14"/>
      <c r="G970" s="14"/>
      <c r="H970" s="14"/>
    </row>
    <row r="971" spans="1:8" x14ac:dyDescent="0.3">
      <c r="A971" s="13"/>
      <c r="B971" s="16">
        <f>IF($A971=InvestorTable[[#This Row],[Investor Tally '#]],InvestorTable[[#This Row],[Investor Name]], NA())</f>
        <v>0</v>
      </c>
      <c r="C971" s="14"/>
      <c r="D971" s="17" t="e" cm="1">
        <f t="array" ref="D971">_xlfn.IFS(AND(InvestorTable[[#This Row],[Investor Tally '#]] = 'Payment Tracker'!$A971, 'Payment Tracker'!$C971="Dividend") = TRUE, InvestorTable[[#This Row],[Monthly ROI (₦)]], AND(InvestorTable[[#This Row],[Investor Tally '#]] = 'Payment Tracker'!$A971, 'Payment Tracker'!$C971="Capital") = TRUE, InvestorTable[[#This Row],[Investment Capital (₦)]], AND(InvestorTable[[#This Row],[Investor Tally '#]] = 'Payment Tracker'!$A971, 'Payment Tracker'!$C971="Refund") = TRUE, InvestorTable[[#This Row],[Investment Capital (₦)]] )</f>
        <v>#N/A</v>
      </c>
      <c r="E971" s="15"/>
      <c r="F971" s="14"/>
      <c r="G971" s="14"/>
      <c r="H971" s="14"/>
    </row>
    <row r="972" spans="1:8" x14ac:dyDescent="0.3">
      <c r="A972" s="13"/>
      <c r="B972" s="16">
        <f>IF($A972=InvestorTable[[#This Row],[Investor Tally '#]],InvestorTable[[#This Row],[Investor Name]], NA())</f>
        <v>0</v>
      </c>
      <c r="C972" s="14"/>
      <c r="D972" s="17" t="e" cm="1">
        <f t="array" ref="D972">_xlfn.IFS(AND(InvestorTable[[#This Row],[Investor Tally '#]] = 'Payment Tracker'!$A972, 'Payment Tracker'!$C972="Dividend") = TRUE, InvestorTable[[#This Row],[Monthly ROI (₦)]], AND(InvestorTable[[#This Row],[Investor Tally '#]] = 'Payment Tracker'!$A972, 'Payment Tracker'!$C972="Capital") = TRUE, InvestorTable[[#This Row],[Investment Capital (₦)]], AND(InvestorTable[[#This Row],[Investor Tally '#]] = 'Payment Tracker'!$A972, 'Payment Tracker'!$C972="Refund") = TRUE, InvestorTable[[#This Row],[Investment Capital (₦)]] )</f>
        <v>#N/A</v>
      </c>
      <c r="E972" s="15"/>
      <c r="F972" s="14"/>
      <c r="G972" s="14"/>
      <c r="H972" s="14"/>
    </row>
    <row r="973" spans="1:8" x14ac:dyDescent="0.3">
      <c r="A973" s="13"/>
      <c r="B973" s="16">
        <f>IF($A973=InvestorTable[[#This Row],[Investor Tally '#]],InvestorTable[[#This Row],[Investor Name]], NA())</f>
        <v>0</v>
      </c>
      <c r="C973" s="14"/>
      <c r="D973" s="17" t="e" cm="1">
        <f t="array" ref="D973">_xlfn.IFS(AND(InvestorTable[[#This Row],[Investor Tally '#]] = 'Payment Tracker'!$A973, 'Payment Tracker'!$C973="Dividend") = TRUE, InvestorTable[[#This Row],[Monthly ROI (₦)]], AND(InvestorTable[[#This Row],[Investor Tally '#]] = 'Payment Tracker'!$A973, 'Payment Tracker'!$C973="Capital") = TRUE, InvestorTable[[#This Row],[Investment Capital (₦)]], AND(InvestorTable[[#This Row],[Investor Tally '#]] = 'Payment Tracker'!$A973, 'Payment Tracker'!$C973="Refund") = TRUE, InvestorTable[[#This Row],[Investment Capital (₦)]] )</f>
        <v>#N/A</v>
      </c>
      <c r="E973" s="15"/>
      <c r="F973" s="14"/>
      <c r="G973" s="14"/>
      <c r="H973" s="14"/>
    </row>
    <row r="974" spans="1:8" x14ac:dyDescent="0.3">
      <c r="A974" s="13"/>
      <c r="B974" s="16">
        <f>IF($A974=InvestorTable[[#This Row],[Investor Tally '#]],InvestorTable[[#This Row],[Investor Name]], NA())</f>
        <v>0</v>
      </c>
      <c r="C974" s="14"/>
      <c r="D974" s="17" t="e" cm="1">
        <f t="array" ref="D974">_xlfn.IFS(AND(InvestorTable[[#This Row],[Investor Tally '#]] = 'Payment Tracker'!$A974, 'Payment Tracker'!$C974="Dividend") = TRUE, InvestorTable[[#This Row],[Monthly ROI (₦)]], AND(InvestorTable[[#This Row],[Investor Tally '#]] = 'Payment Tracker'!$A974, 'Payment Tracker'!$C974="Capital") = TRUE, InvestorTable[[#This Row],[Investment Capital (₦)]], AND(InvestorTable[[#This Row],[Investor Tally '#]] = 'Payment Tracker'!$A974, 'Payment Tracker'!$C974="Refund") = TRUE, InvestorTable[[#This Row],[Investment Capital (₦)]] )</f>
        <v>#N/A</v>
      </c>
      <c r="E974" s="15"/>
      <c r="F974" s="14"/>
      <c r="G974" s="14"/>
      <c r="H974" s="14"/>
    </row>
    <row r="975" spans="1:8" x14ac:dyDescent="0.3">
      <c r="A975" s="13"/>
      <c r="B975" s="16">
        <f>IF($A975=InvestorTable[[#This Row],[Investor Tally '#]],InvestorTable[[#This Row],[Investor Name]], NA())</f>
        <v>0</v>
      </c>
      <c r="C975" s="14"/>
      <c r="D975" s="17" t="e" cm="1">
        <f t="array" ref="D975">_xlfn.IFS(AND(InvestorTable[[#This Row],[Investor Tally '#]] = 'Payment Tracker'!$A975, 'Payment Tracker'!$C975="Dividend") = TRUE, InvestorTable[[#This Row],[Monthly ROI (₦)]], AND(InvestorTable[[#This Row],[Investor Tally '#]] = 'Payment Tracker'!$A975, 'Payment Tracker'!$C975="Capital") = TRUE, InvestorTable[[#This Row],[Investment Capital (₦)]], AND(InvestorTable[[#This Row],[Investor Tally '#]] = 'Payment Tracker'!$A975, 'Payment Tracker'!$C975="Refund") = TRUE, InvestorTable[[#This Row],[Investment Capital (₦)]] )</f>
        <v>#N/A</v>
      </c>
      <c r="E975" s="15"/>
      <c r="F975" s="14"/>
      <c r="G975" s="14"/>
      <c r="H975" s="14"/>
    </row>
    <row r="976" spans="1:8" x14ac:dyDescent="0.3">
      <c r="A976" s="13"/>
      <c r="B976" s="16">
        <f>IF($A976=InvestorTable[[#This Row],[Investor Tally '#]],InvestorTable[[#This Row],[Investor Name]], NA())</f>
        <v>0</v>
      </c>
      <c r="C976" s="14"/>
      <c r="D976" s="17" t="e" cm="1">
        <f t="array" ref="D976">_xlfn.IFS(AND(InvestorTable[[#This Row],[Investor Tally '#]] = 'Payment Tracker'!$A976, 'Payment Tracker'!$C976="Dividend") = TRUE, InvestorTable[[#This Row],[Monthly ROI (₦)]], AND(InvestorTable[[#This Row],[Investor Tally '#]] = 'Payment Tracker'!$A976, 'Payment Tracker'!$C976="Capital") = TRUE, InvestorTable[[#This Row],[Investment Capital (₦)]], AND(InvestorTable[[#This Row],[Investor Tally '#]] = 'Payment Tracker'!$A976, 'Payment Tracker'!$C976="Refund") = TRUE, InvestorTable[[#This Row],[Investment Capital (₦)]] )</f>
        <v>#N/A</v>
      </c>
      <c r="E976" s="15"/>
      <c r="F976" s="14"/>
      <c r="G976" s="14"/>
      <c r="H976" s="14"/>
    </row>
    <row r="977" spans="1:8" x14ac:dyDescent="0.3">
      <c r="A977" s="13"/>
      <c r="B977" s="16">
        <f>IF($A977=InvestorTable[[#This Row],[Investor Tally '#]],InvestorTable[[#This Row],[Investor Name]], NA())</f>
        <v>0</v>
      </c>
      <c r="C977" s="14"/>
      <c r="D977" s="17" t="e" cm="1">
        <f t="array" ref="D977">_xlfn.IFS(AND(InvestorTable[[#This Row],[Investor Tally '#]] = 'Payment Tracker'!$A977, 'Payment Tracker'!$C977="Dividend") = TRUE, InvestorTable[[#This Row],[Monthly ROI (₦)]], AND(InvestorTable[[#This Row],[Investor Tally '#]] = 'Payment Tracker'!$A977, 'Payment Tracker'!$C977="Capital") = TRUE, InvestorTable[[#This Row],[Investment Capital (₦)]], AND(InvestorTable[[#This Row],[Investor Tally '#]] = 'Payment Tracker'!$A977, 'Payment Tracker'!$C977="Refund") = TRUE, InvestorTable[[#This Row],[Investment Capital (₦)]] )</f>
        <v>#N/A</v>
      </c>
      <c r="E977" s="15"/>
      <c r="F977" s="14"/>
      <c r="G977" s="14"/>
      <c r="H977" s="14"/>
    </row>
    <row r="978" spans="1:8" x14ac:dyDescent="0.3">
      <c r="A978" s="13"/>
      <c r="B978" s="16">
        <f>IF($A978=InvestorTable[[#This Row],[Investor Tally '#]],InvestorTable[[#This Row],[Investor Name]], NA())</f>
        <v>0</v>
      </c>
      <c r="C978" s="14"/>
      <c r="D978" s="17" t="e" cm="1">
        <f t="array" ref="D978">_xlfn.IFS(AND(InvestorTable[[#This Row],[Investor Tally '#]] = 'Payment Tracker'!$A978, 'Payment Tracker'!$C978="Dividend") = TRUE, InvestorTable[[#This Row],[Monthly ROI (₦)]], AND(InvestorTable[[#This Row],[Investor Tally '#]] = 'Payment Tracker'!$A978, 'Payment Tracker'!$C978="Capital") = TRUE, InvestorTable[[#This Row],[Investment Capital (₦)]], AND(InvestorTable[[#This Row],[Investor Tally '#]] = 'Payment Tracker'!$A978, 'Payment Tracker'!$C978="Refund") = TRUE, InvestorTable[[#This Row],[Investment Capital (₦)]] )</f>
        <v>#N/A</v>
      </c>
      <c r="E978" s="15"/>
      <c r="F978" s="14"/>
      <c r="G978" s="14"/>
      <c r="H978" s="14"/>
    </row>
    <row r="979" spans="1:8" x14ac:dyDescent="0.3">
      <c r="A979" s="13"/>
      <c r="B979" s="16">
        <f>IF($A979=InvestorTable[[#This Row],[Investor Tally '#]],InvestorTable[[#This Row],[Investor Name]], NA())</f>
        <v>0</v>
      </c>
      <c r="C979" s="14"/>
      <c r="D979" s="17" t="e" cm="1">
        <f t="array" ref="D979">_xlfn.IFS(AND(InvestorTable[[#This Row],[Investor Tally '#]] = 'Payment Tracker'!$A979, 'Payment Tracker'!$C979="Dividend") = TRUE, InvestorTable[[#This Row],[Monthly ROI (₦)]], AND(InvestorTable[[#This Row],[Investor Tally '#]] = 'Payment Tracker'!$A979, 'Payment Tracker'!$C979="Capital") = TRUE, InvestorTable[[#This Row],[Investment Capital (₦)]], AND(InvestorTable[[#This Row],[Investor Tally '#]] = 'Payment Tracker'!$A979, 'Payment Tracker'!$C979="Refund") = TRUE, InvestorTable[[#This Row],[Investment Capital (₦)]] )</f>
        <v>#N/A</v>
      </c>
      <c r="E979" s="15"/>
      <c r="F979" s="14"/>
      <c r="G979" s="14"/>
      <c r="H979" s="14"/>
    </row>
    <row r="980" spans="1:8" x14ac:dyDescent="0.3">
      <c r="A980" s="13"/>
      <c r="B980" s="16">
        <f>IF($A980=InvestorTable[[#This Row],[Investor Tally '#]],InvestorTable[[#This Row],[Investor Name]], NA())</f>
        <v>0</v>
      </c>
      <c r="C980" s="14"/>
      <c r="D980" s="17" t="e" cm="1">
        <f t="array" ref="D980">_xlfn.IFS(AND(InvestorTable[[#This Row],[Investor Tally '#]] = 'Payment Tracker'!$A980, 'Payment Tracker'!$C980="Dividend") = TRUE, InvestorTable[[#This Row],[Monthly ROI (₦)]], AND(InvestorTable[[#This Row],[Investor Tally '#]] = 'Payment Tracker'!$A980, 'Payment Tracker'!$C980="Capital") = TRUE, InvestorTable[[#This Row],[Investment Capital (₦)]], AND(InvestorTable[[#This Row],[Investor Tally '#]] = 'Payment Tracker'!$A980, 'Payment Tracker'!$C980="Refund") = TRUE, InvestorTable[[#This Row],[Investment Capital (₦)]] )</f>
        <v>#N/A</v>
      </c>
      <c r="E980" s="15"/>
      <c r="F980" s="14"/>
      <c r="G980" s="14"/>
      <c r="H980" s="14"/>
    </row>
    <row r="981" spans="1:8" x14ac:dyDescent="0.3">
      <c r="A981" s="13"/>
      <c r="B981" s="16">
        <f>IF($A981=InvestorTable[[#This Row],[Investor Tally '#]],InvestorTable[[#This Row],[Investor Name]], NA())</f>
        <v>0</v>
      </c>
      <c r="C981" s="14"/>
      <c r="D981" s="17" t="e" cm="1">
        <f t="array" ref="D981">_xlfn.IFS(AND(InvestorTable[[#This Row],[Investor Tally '#]] = 'Payment Tracker'!$A981, 'Payment Tracker'!$C981="Dividend") = TRUE, InvestorTable[[#This Row],[Monthly ROI (₦)]], AND(InvestorTable[[#This Row],[Investor Tally '#]] = 'Payment Tracker'!$A981, 'Payment Tracker'!$C981="Capital") = TRUE, InvestorTable[[#This Row],[Investment Capital (₦)]], AND(InvestorTable[[#This Row],[Investor Tally '#]] = 'Payment Tracker'!$A981, 'Payment Tracker'!$C981="Refund") = TRUE, InvestorTable[[#This Row],[Investment Capital (₦)]] )</f>
        <v>#N/A</v>
      </c>
      <c r="E981" s="15"/>
      <c r="F981" s="14"/>
      <c r="G981" s="14"/>
      <c r="H981" s="14"/>
    </row>
    <row r="982" spans="1:8" x14ac:dyDescent="0.3">
      <c r="A982" s="13"/>
      <c r="B982" s="16">
        <f>IF($A982=InvestorTable[[#This Row],[Investor Tally '#]],InvestorTable[[#This Row],[Investor Name]], NA())</f>
        <v>0</v>
      </c>
      <c r="C982" s="14"/>
      <c r="D982" s="17" t="e" cm="1">
        <f t="array" ref="D982">_xlfn.IFS(AND(InvestorTable[[#This Row],[Investor Tally '#]] = 'Payment Tracker'!$A982, 'Payment Tracker'!$C982="Dividend") = TRUE, InvestorTable[[#This Row],[Monthly ROI (₦)]], AND(InvestorTable[[#This Row],[Investor Tally '#]] = 'Payment Tracker'!$A982, 'Payment Tracker'!$C982="Capital") = TRUE, InvestorTable[[#This Row],[Investment Capital (₦)]], AND(InvestorTable[[#This Row],[Investor Tally '#]] = 'Payment Tracker'!$A982, 'Payment Tracker'!$C982="Refund") = TRUE, InvestorTable[[#This Row],[Investment Capital (₦)]] )</f>
        <v>#N/A</v>
      </c>
      <c r="E982" s="15"/>
      <c r="F982" s="14"/>
      <c r="G982" s="14"/>
      <c r="H982" s="14"/>
    </row>
    <row r="983" spans="1:8" x14ac:dyDescent="0.3">
      <c r="A983" s="13"/>
      <c r="B983" s="16">
        <f>IF($A983=InvestorTable[[#This Row],[Investor Tally '#]],InvestorTable[[#This Row],[Investor Name]], NA())</f>
        <v>0</v>
      </c>
      <c r="C983" s="14"/>
      <c r="D983" s="17" t="e" cm="1">
        <f t="array" ref="D983">_xlfn.IFS(AND(InvestorTable[[#This Row],[Investor Tally '#]] = 'Payment Tracker'!$A983, 'Payment Tracker'!$C983="Dividend") = TRUE, InvestorTable[[#This Row],[Monthly ROI (₦)]], AND(InvestorTable[[#This Row],[Investor Tally '#]] = 'Payment Tracker'!$A983, 'Payment Tracker'!$C983="Capital") = TRUE, InvestorTable[[#This Row],[Investment Capital (₦)]], AND(InvestorTable[[#This Row],[Investor Tally '#]] = 'Payment Tracker'!$A983, 'Payment Tracker'!$C983="Refund") = TRUE, InvestorTable[[#This Row],[Investment Capital (₦)]] )</f>
        <v>#N/A</v>
      </c>
      <c r="E983" s="15"/>
      <c r="F983" s="14"/>
      <c r="G983" s="14"/>
      <c r="H983" s="14"/>
    </row>
    <row r="984" spans="1:8" x14ac:dyDescent="0.3">
      <c r="A984" s="13"/>
      <c r="B984" s="16">
        <f>IF($A984=InvestorTable[[#This Row],[Investor Tally '#]],InvestorTable[[#This Row],[Investor Name]], NA())</f>
        <v>0</v>
      </c>
      <c r="C984" s="14"/>
      <c r="D984" s="17" t="e" cm="1">
        <f t="array" ref="D984">_xlfn.IFS(AND(InvestorTable[[#This Row],[Investor Tally '#]] = 'Payment Tracker'!$A984, 'Payment Tracker'!$C984="Dividend") = TRUE, InvestorTable[[#This Row],[Monthly ROI (₦)]], AND(InvestorTable[[#This Row],[Investor Tally '#]] = 'Payment Tracker'!$A984, 'Payment Tracker'!$C984="Capital") = TRUE, InvestorTable[[#This Row],[Investment Capital (₦)]], AND(InvestorTable[[#This Row],[Investor Tally '#]] = 'Payment Tracker'!$A984, 'Payment Tracker'!$C984="Refund") = TRUE, InvestorTable[[#This Row],[Investment Capital (₦)]] )</f>
        <v>#N/A</v>
      </c>
      <c r="E984" s="15"/>
      <c r="F984" s="14"/>
      <c r="G984" s="14"/>
      <c r="H984" s="14"/>
    </row>
    <row r="985" spans="1:8" x14ac:dyDescent="0.3">
      <c r="A985" s="13"/>
      <c r="B985" s="16">
        <f>IF($A985=InvestorTable[[#This Row],[Investor Tally '#]],InvestorTable[[#This Row],[Investor Name]], NA())</f>
        <v>0</v>
      </c>
      <c r="C985" s="14"/>
      <c r="D985" s="17" t="e" cm="1">
        <f t="array" ref="D985">_xlfn.IFS(AND(InvestorTable[[#This Row],[Investor Tally '#]] = 'Payment Tracker'!$A985, 'Payment Tracker'!$C985="Dividend") = TRUE, InvestorTable[[#This Row],[Monthly ROI (₦)]], AND(InvestorTable[[#This Row],[Investor Tally '#]] = 'Payment Tracker'!$A985, 'Payment Tracker'!$C985="Capital") = TRUE, InvestorTable[[#This Row],[Investment Capital (₦)]], AND(InvestorTable[[#This Row],[Investor Tally '#]] = 'Payment Tracker'!$A985, 'Payment Tracker'!$C985="Refund") = TRUE, InvestorTable[[#This Row],[Investment Capital (₦)]] )</f>
        <v>#N/A</v>
      </c>
      <c r="E985" s="15"/>
      <c r="F985" s="14"/>
      <c r="G985" s="14"/>
      <c r="H985" s="14"/>
    </row>
    <row r="986" spans="1:8" x14ac:dyDescent="0.3">
      <c r="A986" s="13"/>
      <c r="B986" s="16">
        <f>IF($A986=InvestorTable[[#This Row],[Investor Tally '#]],InvestorTable[[#This Row],[Investor Name]], NA())</f>
        <v>0</v>
      </c>
      <c r="C986" s="14"/>
      <c r="D986" s="17" t="e" cm="1">
        <f t="array" ref="D986">_xlfn.IFS(AND(InvestorTable[[#This Row],[Investor Tally '#]] = 'Payment Tracker'!$A986, 'Payment Tracker'!$C986="Dividend") = TRUE, InvestorTable[[#This Row],[Monthly ROI (₦)]], AND(InvestorTable[[#This Row],[Investor Tally '#]] = 'Payment Tracker'!$A986, 'Payment Tracker'!$C986="Capital") = TRUE, InvestorTable[[#This Row],[Investment Capital (₦)]], AND(InvestorTable[[#This Row],[Investor Tally '#]] = 'Payment Tracker'!$A986, 'Payment Tracker'!$C986="Refund") = TRUE, InvestorTable[[#This Row],[Investment Capital (₦)]] )</f>
        <v>#N/A</v>
      </c>
      <c r="E986" s="15"/>
      <c r="F986" s="14"/>
      <c r="G986" s="14"/>
      <c r="H986" s="14"/>
    </row>
    <row r="987" spans="1:8" x14ac:dyDescent="0.3">
      <c r="A987" s="13"/>
      <c r="B987" s="16">
        <f>IF($A987=InvestorTable[[#This Row],[Investor Tally '#]],InvestorTable[[#This Row],[Investor Name]], NA())</f>
        <v>0</v>
      </c>
      <c r="C987" s="14"/>
      <c r="D987" s="17" t="e" cm="1">
        <f t="array" ref="D987">_xlfn.IFS(AND(InvestorTable[[#This Row],[Investor Tally '#]] = 'Payment Tracker'!$A987, 'Payment Tracker'!$C987="Dividend") = TRUE, InvestorTable[[#This Row],[Monthly ROI (₦)]], AND(InvestorTable[[#This Row],[Investor Tally '#]] = 'Payment Tracker'!$A987, 'Payment Tracker'!$C987="Capital") = TRUE, InvestorTable[[#This Row],[Investment Capital (₦)]], AND(InvestorTable[[#This Row],[Investor Tally '#]] = 'Payment Tracker'!$A987, 'Payment Tracker'!$C987="Refund") = TRUE, InvestorTable[[#This Row],[Investment Capital (₦)]] )</f>
        <v>#N/A</v>
      </c>
      <c r="E987" s="15"/>
      <c r="F987" s="14"/>
      <c r="G987" s="14"/>
      <c r="H987" s="14"/>
    </row>
    <row r="988" spans="1:8" x14ac:dyDescent="0.3">
      <c r="A988" s="13"/>
      <c r="B988" s="16">
        <f>IF($A988=InvestorTable[[#This Row],[Investor Tally '#]],InvestorTable[[#This Row],[Investor Name]], NA())</f>
        <v>0</v>
      </c>
      <c r="C988" s="14"/>
      <c r="D988" s="17" t="e" cm="1">
        <f t="array" ref="D988">_xlfn.IFS(AND(InvestorTable[[#This Row],[Investor Tally '#]] = 'Payment Tracker'!$A988, 'Payment Tracker'!$C988="Dividend") = TRUE, InvestorTable[[#This Row],[Monthly ROI (₦)]], AND(InvestorTable[[#This Row],[Investor Tally '#]] = 'Payment Tracker'!$A988, 'Payment Tracker'!$C988="Capital") = TRUE, InvestorTable[[#This Row],[Investment Capital (₦)]], AND(InvestorTable[[#This Row],[Investor Tally '#]] = 'Payment Tracker'!$A988, 'Payment Tracker'!$C988="Refund") = TRUE, InvestorTable[[#This Row],[Investment Capital (₦)]] )</f>
        <v>#N/A</v>
      </c>
      <c r="E988" s="15"/>
      <c r="F988" s="14"/>
      <c r="G988" s="14"/>
      <c r="H988" s="14"/>
    </row>
    <row r="989" spans="1:8" x14ac:dyDescent="0.3">
      <c r="A989" s="13"/>
      <c r="B989" s="16">
        <f>IF($A989=InvestorTable[[#This Row],[Investor Tally '#]],InvestorTable[[#This Row],[Investor Name]], NA())</f>
        <v>0</v>
      </c>
      <c r="C989" s="14"/>
      <c r="D989" s="17" t="e" cm="1">
        <f t="array" ref="D989">_xlfn.IFS(AND(InvestorTable[[#This Row],[Investor Tally '#]] = 'Payment Tracker'!$A989, 'Payment Tracker'!$C989="Dividend") = TRUE, InvestorTable[[#This Row],[Monthly ROI (₦)]], AND(InvestorTable[[#This Row],[Investor Tally '#]] = 'Payment Tracker'!$A989, 'Payment Tracker'!$C989="Capital") = TRUE, InvestorTable[[#This Row],[Investment Capital (₦)]], AND(InvestorTable[[#This Row],[Investor Tally '#]] = 'Payment Tracker'!$A989, 'Payment Tracker'!$C989="Refund") = TRUE, InvestorTable[[#This Row],[Investment Capital (₦)]] )</f>
        <v>#N/A</v>
      </c>
      <c r="E989" s="15"/>
      <c r="F989" s="14"/>
      <c r="G989" s="14"/>
      <c r="H989" s="14"/>
    </row>
    <row r="990" spans="1:8" x14ac:dyDescent="0.3">
      <c r="A990" s="13"/>
      <c r="B990" s="16">
        <f>IF($A990=InvestorTable[[#This Row],[Investor Tally '#]],InvestorTable[[#This Row],[Investor Name]], NA())</f>
        <v>0</v>
      </c>
      <c r="C990" s="14"/>
      <c r="D990" s="17" t="e" cm="1">
        <f t="array" ref="D990">_xlfn.IFS(AND(InvestorTable[[#This Row],[Investor Tally '#]] = 'Payment Tracker'!$A990, 'Payment Tracker'!$C990="Dividend") = TRUE, InvestorTable[[#This Row],[Monthly ROI (₦)]], AND(InvestorTable[[#This Row],[Investor Tally '#]] = 'Payment Tracker'!$A990, 'Payment Tracker'!$C990="Capital") = TRUE, InvestorTable[[#This Row],[Investment Capital (₦)]], AND(InvestorTable[[#This Row],[Investor Tally '#]] = 'Payment Tracker'!$A990, 'Payment Tracker'!$C990="Refund") = TRUE, InvestorTable[[#This Row],[Investment Capital (₦)]] )</f>
        <v>#N/A</v>
      </c>
      <c r="E990" s="15"/>
      <c r="F990" s="14"/>
      <c r="G990" s="14"/>
      <c r="H990" s="14"/>
    </row>
    <row r="991" spans="1:8" x14ac:dyDescent="0.3">
      <c r="A991" s="13"/>
      <c r="B991" s="16">
        <f>IF($A991=InvestorTable[[#This Row],[Investor Tally '#]],InvestorTable[[#This Row],[Investor Name]], NA())</f>
        <v>0</v>
      </c>
      <c r="C991" s="14"/>
      <c r="D991" s="17" t="e" cm="1">
        <f t="array" ref="D991">_xlfn.IFS(AND(InvestorTable[[#This Row],[Investor Tally '#]] = 'Payment Tracker'!$A991, 'Payment Tracker'!$C991="Dividend") = TRUE, InvestorTable[[#This Row],[Monthly ROI (₦)]], AND(InvestorTable[[#This Row],[Investor Tally '#]] = 'Payment Tracker'!$A991, 'Payment Tracker'!$C991="Capital") = TRUE, InvestorTable[[#This Row],[Investment Capital (₦)]], AND(InvestorTable[[#This Row],[Investor Tally '#]] = 'Payment Tracker'!$A991, 'Payment Tracker'!$C991="Refund") = TRUE, InvestorTable[[#This Row],[Investment Capital (₦)]] )</f>
        <v>#N/A</v>
      </c>
      <c r="E991" s="15"/>
      <c r="F991" s="14"/>
      <c r="G991" s="14"/>
      <c r="H991" s="14"/>
    </row>
    <row r="992" spans="1:8" x14ac:dyDescent="0.3">
      <c r="A992" s="13"/>
      <c r="B992" s="16">
        <f>IF($A992=InvestorTable[[#This Row],[Investor Tally '#]],InvestorTable[[#This Row],[Investor Name]], NA())</f>
        <v>0</v>
      </c>
      <c r="C992" s="14"/>
      <c r="D992" s="17" t="e" cm="1">
        <f t="array" ref="D992">_xlfn.IFS(AND(InvestorTable[[#This Row],[Investor Tally '#]] = 'Payment Tracker'!$A992, 'Payment Tracker'!$C992="Dividend") = TRUE, InvestorTable[[#This Row],[Monthly ROI (₦)]], AND(InvestorTable[[#This Row],[Investor Tally '#]] = 'Payment Tracker'!$A992, 'Payment Tracker'!$C992="Capital") = TRUE, InvestorTable[[#This Row],[Investment Capital (₦)]], AND(InvestorTable[[#This Row],[Investor Tally '#]] = 'Payment Tracker'!$A992, 'Payment Tracker'!$C992="Refund") = TRUE, InvestorTable[[#This Row],[Investment Capital (₦)]] )</f>
        <v>#N/A</v>
      </c>
      <c r="E992" s="15"/>
      <c r="F992" s="14"/>
      <c r="G992" s="14"/>
      <c r="H992" s="14"/>
    </row>
    <row r="993" spans="1:8" x14ac:dyDescent="0.3">
      <c r="A993" s="13"/>
      <c r="B993" s="16">
        <f>IF($A993=InvestorTable[[#This Row],[Investor Tally '#]],InvestorTable[[#This Row],[Investor Name]], NA())</f>
        <v>0</v>
      </c>
      <c r="C993" s="14"/>
      <c r="D993" s="17" t="e" cm="1">
        <f t="array" ref="D993">_xlfn.IFS(AND(InvestorTable[[#This Row],[Investor Tally '#]] = 'Payment Tracker'!$A993, 'Payment Tracker'!$C993="Dividend") = TRUE, InvestorTable[[#This Row],[Monthly ROI (₦)]], AND(InvestorTable[[#This Row],[Investor Tally '#]] = 'Payment Tracker'!$A993, 'Payment Tracker'!$C993="Capital") = TRUE, InvestorTable[[#This Row],[Investment Capital (₦)]], AND(InvestorTable[[#This Row],[Investor Tally '#]] = 'Payment Tracker'!$A993, 'Payment Tracker'!$C993="Refund") = TRUE, InvestorTable[[#This Row],[Investment Capital (₦)]] )</f>
        <v>#N/A</v>
      </c>
      <c r="E993" s="15"/>
      <c r="F993" s="14"/>
      <c r="G993" s="14"/>
      <c r="H993" s="14"/>
    </row>
    <row r="994" spans="1:8" x14ac:dyDescent="0.3">
      <c r="A994" s="13"/>
      <c r="B994" s="16">
        <f>IF($A994=InvestorTable[[#This Row],[Investor Tally '#]],InvestorTable[[#This Row],[Investor Name]], NA())</f>
        <v>0</v>
      </c>
      <c r="C994" s="14"/>
      <c r="D994" s="17" t="e" cm="1">
        <f t="array" ref="D994">_xlfn.IFS(AND(InvestorTable[[#This Row],[Investor Tally '#]] = 'Payment Tracker'!$A994, 'Payment Tracker'!$C994="Dividend") = TRUE, InvestorTable[[#This Row],[Monthly ROI (₦)]], AND(InvestorTable[[#This Row],[Investor Tally '#]] = 'Payment Tracker'!$A994, 'Payment Tracker'!$C994="Capital") = TRUE, InvestorTable[[#This Row],[Investment Capital (₦)]], AND(InvestorTable[[#This Row],[Investor Tally '#]] = 'Payment Tracker'!$A994, 'Payment Tracker'!$C994="Refund") = TRUE, InvestorTable[[#This Row],[Investment Capital (₦)]] )</f>
        <v>#N/A</v>
      </c>
      <c r="E994" s="15"/>
      <c r="F994" s="14"/>
      <c r="G994" s="14"/>
      <c r="H994" s="14"/>
    </row>
    <row r="995" spans="1:8" x14ac:dyDescent="0.3">
      <c r="A995" s="13"/>
      <c r="B995" s="16">
        <f>IF($A995=InvestorTable[[#This Row],[Investor Tally '#]],InvestorTable[[#This Row],[Investor Name]], NA())</f>
        <v>0</v>
      </c>
      <c r="C995" s="14"/>
      <c r="D995" s="17" t="e" cm="1">
        <f t="array" ref="D995">_xlfn.IFS(AND(InvestorTable[[#This Row],[Investor Tally '#]] = 'Payment Tracker'!$A995, 'Payment Tracker'!$C995="Dividend") = TRUE, InvestorTable[[#This Row],[Monthly ROI (₦)]], AND(InvestorTable[[#This Row],[Investor Tally '#]] = 'Payment Tracker'!$A995, 'Payment Tracker'!$C995="Capital") = TRUE, InvestorTable[[#This Row],[Investment Capital (₦)]], AND(InvestorTable[[#This Row],[Investor Tally '#]] = 'Payment Tracker'!$A995, 'Payment Tracker'!$C995="Refund") = TRUE, InvestorTable[[#This Row],[Investment Capital (₦)]] )</f>
        <v>#N/A</v>
      </c>
      <c r="E995" s="15"/>
      <c r="F995" s="14"/>
      <c r="G995" s="14"/>
      <c r="H995" s="14"/>
    </row>
    <row r="996" spans="1:8" x14ac:dyDescent="0.3">
      <c r="A996" s="13"/>
      <c r="B996" s="16">
        <f>IF($A996=InvestorTable[[#This Row],[Investor Tally '#]],InvestorTable[[#This Row],[Investor Name]], NA())</f>
        <v>0</v>
      </c>
      <c r="C996" s="14"/>
      <c r="D996" s="17" t="e" cm="1">
        <f t="array" ref="D996">_xlfn.IFS(AND(InvestorTable[[#This Row],[Investor Tally '#]] = 'Payment Tracker'!$A996, 'Payment Tracker'!$C996="Dividend") = TRUE, InvestorTable[[#This Row],[Monthly ROI (₦)]], AND(InvestorTable[[#This Row],[Investor Tally '#]] = 'Payment Tracker'!$A996, 'Payment Tracker'!$C996="Capital") = TRUE, InvestorTable[[#This Row],[Investment Capital (₦)]], AND(InvestorTable[[#This Row],[Investor Tally '#]] = 'Payment Tracker'!$A996, 'Payment Tracker'!$C996="Refund") = TRUE, InvestorTable[[#This Row],[Investment Capital (₦)]] )</f>
        <v>#N/A</v>
      </c>
      <c r="E996" s="15"/>
      <c r="F996" s="14"/>
      <c r="G996" s="14"/>
      <c r="H996" s="14"/>
    </row>
    <row r="997" spans="1:8" x14ac:dyDescent="0.3">
      <c r="A997" s="13"/>
      <c r="B997" s="16">
        <f>IF($A997=InvestorTable[[#This Row],[Investor Tally '#]],InvestorTable[[#This Row],[Investor Name]], NA())</f>
        <v>0</v>
      </c>
      <c r="C997" s="14"/>
      <c r="D997" s="17" t="e" cm="1">
        <f t="array" ref="D997">_xlfn.IFS(AND(InvestorTable[[#This Row],[Investor Tally '#]] = 'Payment Tracker'!$A997, 'Payment Tracker'!$C997="Dividend") = TRUE, InvestorTable[[#This Row],[Monthly ROI (₦)]], AND(InvestorTable[[#This Row],[Investor Tally '#]] = 'Payment Tracker'!$A997, 'Payment Tracker'!$C997="Capital") = TRUE, InvestorTable[[#This Row],[Investment Capital (₦)]], AND(InvestorTable[[#This Row],[Investor Tally '#]] = 'Payment Tracker'!$A997, 'Payment Tracker'!$C997="Refund") = TRUE, InvestorTable[[#This Row],[Investment Capital (₦)]] )</f>
        <v>#N/A</v>
      </c>
      <c r="E997" s="15"/>
      <c r="F997" s="14"/>
      <c r="G997" s="14"/>
      <c r="H997" s="14"/>
    </row>
    <row r="998" spans="1:8" x14ac:dyDescent="0.3">
      <c r="A998" s="13"/>
      <c r="B998" s="16">
        <f>IF($A998=InvestorTable[[#This Row],[Investor Tally '#]],InvestorTable[[#This Row],[Investor Name]], NA())</f>
        <v>0</v>
      </c>
      <c r="C998" s="14"/>
      <c r="D998" s="17" t="e" cm="1">
        <f t="array" ref="D998">_xlfn.IFS(AND(InvestorTable[[#This Row],[Investor Tally '#]] = 'Payment Tracker'!$A998, 'Payment Tracker'!$C998="Dividend") = TRUE, InvestorTable[[#This Row],[Monthly ROI (₦)]], AND(InvestorTable[[#This Row],[Investor Tally '#]] = 'Payment Tracker'!$A998, 'Payment Tracker'!$C998="Capital") = TRUE, InvestorTable[[#This Row],[Investment Capital (₦)]], AND(InvestorTable[[#This Row],[Investor Tally '#]] = 'Payment Tracker'!$A998, 'Payment Tracker'!$C998="Refund") = TRUE, InvestorTable[[#This Row],[Investment Capital (₦)]] )</f>
        <v>#N/A</v>
      </c>
      <c r="E998" s="15"/>
      <c r="F998" s="14"/>
      <c r="G998" s="14"/>
      <c r="H998" s="14"/>
    </row>
    <row r="999" spans="1:8" x14ac:dyDescent="0.3">
      <c r="A999" s="13"/>
      <c r="B999" s="16">
        <f>IF($A999=InvestorTable[[#This Row],[Investor Tally '#]],InvestorTable[[#This Row],[Investor Name]], NA())</f>
        <v>0</v>
      </c>
      <c r="C999" s="14"/>
      <c r="D999" s="17" t="e" cm="1">
        <f t="array" ref="D999">_xlfn.IFS(AND(InvestorTable[[#This Row],[Investor Tally '#]] = 'Payment Tracker'!$A999, 'Payment Tracker'!$C999="Dividend") = TRUE, InvestorTable[[#This Row],[Monthly ROI (₦)]], AND(InvestorTable[[#This Row],[Investor Tally '#]] = 'Payment Tracker'!$A999, 'Payment Tracker'!$C999="Capital") = TRUE, InvestorTable[[#This Row],[Investment Capital (₦)]], AND(InvestorTable[[#This Row],[Investor Tally '#]] = 'Payment Tracker'!$A999, 'Payment Tracker'!$C999="Refund") = TRUE, InvestorTable[[#This Row],[Investment Capital (₦)]] )</f>
        <v>#N/A</v>
      </c>
      <c r="E999" s="15"/>
      <c r="F999" s="14"/>
      <c r="G999" s="14"/>
      <c r="H999" s="14"/>
    </row>
    <row r="1000" spans="1:8" x14ac:dyDescent="0.3">
      <c r="A1000" s="13"/>
      <c r="B1000" s="16" t="e">
        <f>IF($A1000=InvestorTable[[#This Row],[Investor Tally '#]],InvestorTable[[#This Row],[Investor Name]], NA())</f>
        <v>#VALUE!</v>
      </c>
      <c r="C1000" s="14"/>
      <c r="D1000" s="17" t="e" cm="1">
        <f t="array" ref="D1000">_xlfn.IFS(AND(InvestorTable[[#This Row],[Investor Tally '#]] = 'Payment Tracker'!$A1000, 'Payment Tracker'!$C1000="Dividend") = TRUE, InvestorTable[[#This Row],[Monthly ROI (₦)]], AND(InvestorTable[[#This Row],[Investor Tally '#]] = 'Payment Tracker'!$A1000, 'Payment Tracker'!$C1000="Capital") = TRUE, InvestorTable[[#This Row],[Investment Capital (₦)]], AND(InvestorTable[[#This Row],[Investor Tally '#]] = 'Payment Tracker'!$A1000, 'Payment Tracker'!$C1000="Refund") = TRUE, InvestorTable[[#This Row],[Investment Capital (₦)]] )</f>
        <v>#VALUE!</v>
      </c>
      <c r="E1000" s="15"/>
      <c r="F1000" s="14"/>
      <c r="G1000" s="14"/>
      <c r="H1000" s="14"/>
    </row>
  </sheetData>
  <sheetProtection algorithmName="SHA-512" hashValue="tRCmBpLI8HLnOpQExqbDYxHPA4wD/c0kmoh25ZzXjWqR+9jfX3KiFrr5YMbR25yqEDCuGyTEfWSVPnFYXDkaRw==" saltValue="rri8Wp9X9Wyy+49Zw94Cgg==" spinCount="100000" sheet="1" objects="1" scenarios="1"/>
  <mergeCells count="2">
    <mergeCell ref="A2:H2"/>
    <mergeCell ref="A1:H1"/>
  </mergeCells>
  <conditionalFormatting sqref="H5:H1000">
    <cfRule type="cellIs" dxfId="2" priority="1" operator="equal">
      <formula>"Completed"</formula>
    </cfRule>
    <cfRule type="cellIs" dxfId="1" priority="2" operator="equal">
      <formula>"Pending"</formula>
    </cfRule>
    <cfRule type="cellIs" dxfId="0" priority="3" operator="equal">
      <formula>"Failed"</formula>
    </cfRule>
  </conditionalFormatting>
  <dataValidations count="3">
    <dataValidation type="list" sqref="C5:C1000" xr:uid="{00000000-0002-0000-0200-000000000000}">
      <formula1>"Capital,Dividend,Refund"</formula1>
    </dataValidation>
    <dataValidation type="list" sqref="F5:F1000" xr:uid="{00000000-0002-0000-0200-000001000000}">
      <formula1>"Bank Transfer,Cash,Cheque,Mobile Money"</formula1>
    </dataValidation>
    <dataValidation type="list" sqref="H5:H1000" xr:uid="{00000000-0002-0000-0200-000002000000}">
      <formula1>"Completed,Pending,Failed"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Investor Dashboard</vt:lpstr>
      <vt:lpstr>Investor Records</vt:lpstr>
      <vt:lpstr>Payment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2026-01-06T10:05:37Z</dcterms:created>
  <dcterms:modified xsi:type="dcterms:W3CDTF">2026-01-08T23:06:17Z</dcterms:modified>
</cp:coreProperties>
</file>